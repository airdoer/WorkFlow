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trunk\Doc\ExcelDataTable\character\"/>
    </mc:Choice>
  </mc:AlternateContent>
  <bookViews>
    <workbookView xWindow="-105" yWindow="-105" windowWidth="30930" windowHeight="16770"/>
  </bookViews>
  <sheets>
    <sheet name="角色表" sheetId="1" r:id="rId1"/>
    <sheet name="PVP角色属性表" sheetId="3" r:id="rId2"/>
    <sheet name="阵营关系对照表" sheetId="2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39" i="1" l="1"/>
  <c r="T10" i="1" l="1"/>
  <c r="AH37" i="1" l="1"/>
  <c r="T37" i="1"/>
  <c r="AH42" i="1"/>
  <c r="AR43" i="1" l="1"/>
  <c r="AP43" i="1"/>
  <c r="AH43" i="1"/>
  <c r="T43" i="1"/>
  <c r="AR41" i="1"/>
  <c r="AP41" i="1"/>
  <c r="AH41" i="1"/>
  <c r="T41" i="1"/>
  <c r="AH40" i="1"/>
  <c r="T40" i="1"/>
  <c r="T39" i="1"/>
  <c r="AR38" i="1"/>
  <c r="AH38" i="1"/>
  <c r="T38" i="1"/>
  <c r="AR36" i="1"/>
  <c r="AH36" i="1"/>
  <c r="T36" i="1"/>
  <c r="AR35" i="1"/>
  <c r="AP35" i="1"/>
  <c r="AH35" i="1"/>
  <c r="T35" i="1"/>
  <c r="AR34" i="1"/>
  <c r="AP34" i="1"/>
  <c r="T34" i="1"/>
  <c r="AR33" i="1"/>
  <c r="AP33" i="1"/>
  <c r="AH33" i="1"/>
  <c r="T33" i="1"/>
  <c r="AR32" i="1"/>
  <c r="AP32" i="1"/>
  <c r="AH32" i="1"/>
  <c r="T32" i="1"/>
  <c r="AR31" i="1"/>
  <c r="AP31" i="1"/>
  <c r="AH31" i="1"/>
  <c r="T31" i="1"/>
  <c r="AR30" i="1"/>
  <c r="AP30" i="1"/>
  <c r="AH30" i="1"/>
  <c r="T30" i="1"/>
  <c r="AR29" i="1"/>
  <c r="AP29" i="1"/>
  <c r="AH29" i="1"/>
  <c r="T29" i="1"/>
  <c r="AR28" i="1"/>
  <c r="AP28" i="1"/>
  <c r="AH28" i="1"/>
  <c r="T28" i="1"/>
  <c r="AR27" i="1"/>
  <c r="AP27" i="1"/>
  <c r="AH27" i="1"/>
  <c r="T27" i="1"/>
  <c r="AR26" i="1"/>
  <c r="AP26" i="1"/>
  <c r="AH26" i="1"/>
  <c r="T26" i="1"/>
  <c r="AR25" i="1"/>
  <c r="AP25" i="1"/>
  <c r="AH25" i="1"/>
  <c r="T25" i="1"/>
  <c r="AR24" i="1"/>
  <c r="AP24" i="1"/>
  <c r="AH24" i="1"/>
  <c r="T24" i="1"/>
  <c r="AR23" i="1"/>
  <c r="AP23" i="1"/>
  <c r="AH23" i="1"/>
  <c r="T23" i="1"/>
  <c r="AR22" i="1"/>
  <c r="AP22" i="1"/>
  <c r="AH22" i="1"/>
  <c r="T22" i="1"/>
  <c r="AR21" i="1"/>
  <c r="AP21" i="1"/>
  <c r="AH21" i="1"/>
  <c r="T21" i="1"/>
  <c r="AR20" i="1"/>
  <c r="AP20" i="1"/>
  <c r="AH20" i="1"/>
  <c r="T20" i="1"/>
  <c r="AH19" i="1"/>
  <c r="AR18" i="1"/>
  <c r="AP18" i="1"/>
  <c r="AH18" i="1"/>
  <c r="T18" i="1"/>
  <c r="AR17" i="1"/>
  <c r="AP17" i="1"/>
  <c r="AH17" i="1"/>
  <c r="T17" i="1"/>
  <c r="AR16" i="1"/>
  <c r="AP16" i="1"/>
  <c r="AH16" i="1"/>
  <c r="T16" i="1"/>
  <c r="AR15" i="1"/>
  <c r="AP15" i="1"/>
  <c r="AH15" i="1"/>
  <c r="T15" i="1"/>
  <c r="AR14" i="1"/>
  <c r="AP14" i="1"/>
  <c r="AH14" i="1"/>
  <c r="T14" i="1"/>
  <c r="AR13" i="1"/>
  <c r="AP13" i="1"/>
  <c r="AH13" i="1"/>
  <c r="T13" i="1"/>
  <c r="T11" i="1"/>
  <c r="AP9" i="1"/>
  <c r="T9" i="1"/>
  <c r="AP8" i="1"/>
  <c r="T8" i="1"/>
  <c r="AP7" i="1"/>
  <c r="T7" i="1"/>
  <c r="AP6" i="1"/>
  <c r="T6" i="1"/>
</calcChain>
</file>

<file path=xl/sharedStrings.xml><?xml version="1.0" encoding="utf-8"?>
<sst xmlns="http://schemas.openxmlformats.org/spreadsheetml/2006/main" count="1899" uniqueCount="563">
  <si>
    <t>备注</t>
  </si>
  <si>
    <t>Id</t>
  </si>
  <si>
    <t>Name</t>
  </si>
  <si>
    <t>Title</t>
  </si>
  <si>
    <t>MaxHPModify</t>
  </si>
  <si>
    <t>AttackModify</t>
  </si>
  <si>
    <t>DefenseModify</t>
  </si>
  <si>
    <t>注释-列名</t>
  </si>
  <si>
    <t>角色id</t>
  </si>
  <si>
    <t>角色名字</t>
  </si>
  <si>
    <t>角色称号</t>
  </si>
  <si>
    <t>生命值修正</t>
  </si>
  <si>
    <t>攻击修正</t>
  </si>
  <si>
    <t>防御修正</t>
  </si>
  <si>
    <t>注释-备注</t>
  </si>
  <si>
    <t>用于资源管理</t>
  </si>
  <si>
    <t>海德拉</t>
  </si>
  <si>
    <t>深海之梦</t>
  </si>
  <si>
    <t>填写倍率</t>
  </si>
  <si>
    <t>注释-类型</t>
  </si>
  <si>
    <t>Int()</t>
  </si>
  <si>
    <t>Str()</t>
  </si>
  <si>
    <t>FP()</t>
  </si>
  <si>
    <t>约束类型</t>
  </si>
  <si>
    <t>1001</t>
  </si>
  <si>
    <t>男主角</t>
  </si>
  <si>
    <t>0.9</t>
  </si>
  <si>
    <t>1</t>
  </si>
  <si>
    <t>0.8</t>
  </si>
  <si>
    <t>1002</t>
  </si>
  <si>
    <t>女主角</t>
  </si>
  <si>
    <r>
      <rPr>
        <sz val="9"/>
        <color theme="1"/>
        <rFont val="微软雅黑"/>
        <family val="2"/>
        <charset val="134"/>
      </rPr>
      <t>100</t>
    </r>
    <r>
      <rPr>
        <sz val="9"/>
        <color theme="1"/>
        <rFont val="微软雅黑"/>
        <family val="2"/>
        <charset val="134"/>
      </rPr>
      <t>3</t>
    </r>
  </si>
  <si>
    <r>
      <rPr>
        <sz val="9"/>
        <color theme="1"/>
        <rFont val="微软雅黑"/>
        <family val="2"/>
        <charset val="134"/>
      </rPr>
      <t>100</t>
    </r>
    <r>
      <rPr>
        <sz val="9"/>
        <color theme="1"/>
        <rFont val="微软雅黑"/>
        <family val="2"/>
        <charset val="134"/>
      </rPr>
      <t>4</t>
    </r>
  </si>
  <si>
    <t>1050</t>
  </si>
  <si>
    <t>像素玩法主角</t>
  </si>
  <si>
    <t>芙露尔</t>
  </si>
  <si>
    <t>荆棘之梦</t>
  </si>
  <si>
    <t>4.5</t>
  </si>
  <si>
    <t>0.72</t>
  </si>
  <si>
    <t>2004</t>
  </si>
  <si>
    <t>4.8</t>
  </si>
  <si>
    <t>罗错</t>
  </si>
  <si>
    <t>加班之梦</t>
  </si>
  <si>
    <t>5.4</t>
  </si>
  <si>
    <t>蜜果</t>
  </si>
  <si>
    <t>甜食之梦</t>
  </si>
  <si>
    <t>5.25</t>
  </si>
  <si>
    <t>冬葵</t>
  </si>
  <si>
    <t>病愈之梦</t>
  </si>
  <si>
    <t>5</t>
  </si>
  <si>
    <t>星夜之梦</t>
  </si>
  <si>
    <t>西西弗</t>
  </si>
  <si>
    <t>荒诞之梦</t>
  </si>
  <si>
    <t>2012</t>
  </si>
  <si>
    <t>呼噜</t>
  </si>
  <si>
    <t>毛茸茸之梦</t>
  </si>
  <si>
    <t>飞翔之梦</t>
  </si>
  <si>
    <t>安德烈</t>
  </si>
  <si>
    <t>战争之梦</t>
  </si>
  <si>
    <t>4.95</t>
  </si>
  <si>
    <t>芬奇</t>
  </si>
  <si>
    <t>拖延之梦</t>
  </si>
  <si>
    <t>长生</t>
  </si>
  <si>
    <t>衰老之梦</t>
  </si>
  <si>
    <t>花之梦</t>
  </si>
  <si>
    <t>格尔达</t>
  </si>
  <si>
    <t>囚笼之梦</t>
  </si>
  <si>
    <t>5.1</t>
  </si>
  <si>
    <t>安息之梦</t>
  </si>
  <si>
    <t>高弈</t>
  </si>
  <si>
    <t>博弈之梦</t>
  </si>
  <si>
    <t>0.95</t>
  </si>
  <si>
    <t>考试之梦</t>
  </si>
  <si>
    <t>0.1</t>
  </si>
  <si>
    <t>黛西</t>
  </si>
  <si>
    <t>暴富之梦</t>
  </si>
  <si>
    <t>羿</t>
  </si>
  <si>
    <t>狩猎之梦</t>
  </si>
  <si>
    <t>4.65</t>
  </si>
  <si>
    <t>0.92</t>
  </si>
  <si>
    <t>2024</t>
  </si>
  <si>
    <t>焚风</t>
  </si>
  <si>
    <t>荒漠之梦</t>
  </si>
  <si>
    <t>4.75</t>
  </si>
  <si>
    <t>2026</t>
  </si>
  <si>
    <t>瑶铃</t>
  </si>
  <si>
    <t>通灵之梦</t>
  </si>
  <si>
    <t>阿破锣</t>
  </si>
  <si>
    <t>噪音之梦</t>
  </si>
  <si>
    <t>2029</t>
  </si>
  <si>
    <t>维卡</t>
  </si>
  <si>
    <t>英雄之梦</t>
  </si>
  <si>
    <t>2030</t>
  </si>
  <si>
    <t>洛卡斯</t>
  </si>
  <si>
    <t>镜之梦</t>
  </si>
  <si>
    <t>2032</t>
  </si>
  <si>
    <t>空空</t>
  </si>
  <si>
    <t>贫穷之梦</t>
  </si>
  <si>
    <t>2035</t>
  </si>
  <si>
    <t>漫朵</t>
  </si>
  <si>
    <t>云之梦</t>
  </si>
  <si>
    <t>2038</t>
  </si>
  <si>
    <t>雷管</t>
  </si>
  <si>
    <t>爆破之梦</t>
  </si>
  <si>
    <t>2040</t>
  </si>
  <si>
    <t>解答</t>
  </si>
  <si>
    <t>解答之梦</t>
  </si>
  <si>
    <t>2046</t>
  </si>
  <si>
    <t>逍遥</t>
  </si>
  <si>
    <t>侠之梦</t>
  </si>
  <si>
    <t>2052</t>
  </si>
  <si>
    <t>肉鸽莱特</t>
  </si>
  <si>
    <t>爽约之梦</t>
  </si>
  <si>
    <t>本表不导表，相关逻辑代码里写死，这里仅仅是将对照关系暴露出来供查阅：</t>
  </si>
  <si>
    <t>不可攻击填0，可攻击填1</t>
  </si>
  <si>
    <t>阵营A看B和阵营B看A可能不同</t>
  </si>
  <si>
    <t>组件统一在动态组件表里配置对应的攻受击方式</t>
  </si>
  <si>
    <t>无阵营</t>
  </si>
  <si>
    <t>预留1</t>
  </si>
  <si>
    <t>预留2</t>
  </si>
  <si>
    <t>怪物</t>
  </si>
  <si>
    <t>NPC</t>
  </si>
  <si>
    <t>组件</t>
  </si>
  <si>
    <t>攻击组件</t>
  </si>
  <si>
    <t>玩家魅惑</t>
  </si>
  <si>
    <t>预留4</t>
  </si>
  <si>
    <t>预留5</t>
  </si>
  <si>
    <t>角色阵营1</t>
  </si>
  <si>
    <t>角色阵营2</t>
  </si>
  <si>
    <t>角色阵营3</t>
  </si>
  <si>
    <t>角色阵营4</t>
  </si>
  <si>
    <t>角色阵营5</t>
  </si>
  <si>
    <t>角色阵营6</t>
  </si>
  <si>
    <t>角色阵营7</t>
  </si>
  <si>
    <t>角色阵营8</t>
  </si>
  <si>
    <t>角色阵营9</t>
  </si>
  <si>
    <t>角色阵营10</t>
  </si>
  <si>
    <t>角色阵营11</t>
  </si>
  <si>
    <t>角色阵营12</t>
  </si>
  <si>
    <t>角色阵营13</t>
  </si>
  <si>
    <t>角色阵营14</t>
  </si>
  <si>
    <t>角色阵营15</t>
  </si>
  <si>
    <t>角色阵营16</t>
  </si>
  <si>
    <t>角色1-角色16，他们之间相互可攻击。
角色2-角色16对其他阵营的行为等同于角色1</t>
  </si>
  <si>
    <t>阵营A→
↓阵营B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</si>
  <si>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</si>
  <si>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</si>
  <si>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</si>
  <si>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</si>
  <si>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</si>
  <si>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</si>
  <si>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</si>
  <si>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</si>
  <si>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</si>
  <si>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</si>
  <si>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</si>
  <si>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</si>
  <si>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</si>
  <si>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</si>
  <si>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</si>
  <si>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</si>
  <si>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</si>
  <si>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</si>
  <si>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</si>
  <si>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</si>
  <si>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</t>
  </si>
  <si>
    <t>3</t>
  </si>
  <si>
    <t>4</t>
  </si>
  <si>
    <t>是否导表</t>
  </si>
  <si>
    <t>Description</t>
  </si>
  <si>
    <t>isForbidden</t>
  </si>
  <si>
    <t>QualityID</t>
  </si>
  <si>
    <t>FactionID</t>
  </si>
  <si>
    <t>Language</t>
  </si>
  <si>
    <t>ShowWords</t>
  </si>
  <si>
    <t>UsualWords</t>
  </si>
  <si>
    <t>TapWords</t>
  </si>
  <si>
    <t>VictoryWords</t>
  </si>
  <si>
    <t>FailureWords</t>
  </si>
  <si>
    <t>JobType</t>
  </si>
  <si>
    <t>DutyType</t>
  </si>
  <si>
    <t>FragmentPropID</t>
  </si>
  <si>
    <t>SummonPoolConfig</t>
  </si>
  <si>
    <t>ViewCtrlID</t>
  </si>
  <si>
    <t>LevelUpId</t>
  </si>
  <si>
    <t>AttrModuleID</t>
  </si>
  <si>
    <t>CritRateModify</t>
  </si>
  <si>
    <t>CritBonusModify</t>
  </si>
  <si>
    <t>Armor</t>
  </si>
  <si>
    <t>Resilience</t>
  </si>
  <si>
    <t>ResRecoverTime</t>
  </si>
  <si>
    <t>ResArmor</t>
  </si>
  <si>
    <t>BattleResourceID</t>
  </si>
  <si>
    <t>UltimateRecover</t>
  </si>
  <si>
    <t>SkillList</t>
  </si>
  <si>
    <t>LifeSkill</t>
  </si>
  <si>
    <t>SearchTargetID</t>
  </si>
  <si>
    <t>OriginalBuff</t>
  </si>
  <si>
    <t>PassiveSkills</t>
  </si>
  <si>
    <t>Btree</t>
  </si>
  <si>
    <t>PvpTree</t>
  </si>
  <si>
    <t>Tags</t>
  </si>
  <si>
    <t>StandResID</t>
  </si>
  <si>
    <t>Doll</t>
  </si>
  <si>
    <t>BlessingLibraryID</t>
  </si>
  <si>
    <t>GoldBlessingAudioID</t>
  </si>
  <si>
    <t>DollPrefab</t>
  </si>
  <si>
    <t>LowDollPrefab</t>
  </si>
  <si>
    <t>角色简介</t>
  </si>
  <si>
    <t>是否屏蔽外放</t>
  </si>
  <si>
    <t>角色品质id</t>
  </si>
  <si>
    <t>阵营id（填写不生效，仅供查看）</t>
  </si>
  <si>
    <t>角色呓语</t>
  </si>
  <si>
    <t>角色出场台词</t>
  </si>
  <si>
    <t>卡牌库台词</t>
  </si>
  <si>
    <t>触摸点击台词</t>
  </si>
  <si>
    <t>胜利台词</t>
  </si>
  <si>
    <t>失败台词</t>
  </si>
  <si>
    <t>流派Id</t>
  </si>
  <si>
    <t>定位id</t>
  </si>
  <si>
    <t>梦灵遗思Id</t>
  </si>
  <si>
    <t>是否进入特定卡池</t>
  </si>
  <si>
    <t>外观控制id</t>
  </si>
  <si>
    <t>升级消耗模板id</t>
  </si>
  <si>
    <t>属性模板id</t>
  </si>
  <si>
    <t>暴击率修正</t>
  </si>
  <si>
    <t>暴击倍率修正</t>
  </si>
  <si>
    <t>护体值</t>
  </si>
  <si>
    <t>韧性值</t>
  </si>
  <si>
    <t>破韧时间</t>
  </si>
  <si>
    <t>强韧护体值</t>
  </si>
  <si>
    <t>战斗资源id</t>
  </si>
  <si>
    <t>大招能量攻击恢复</t>
  </si>
  <si>
    <t>技能列表</t>
  </si>
  <si>
    <t>生活技能</t>
  </si>
  <si>
    <t>索敌id</t>
  </si>
  <si>
    <t>自带Buff</t>
  </si>
  <si>
    <t>被动技能</t>
  </si>
  <si>
    <t>行为树</t>
  </si>
  <si>
    <t>多人模式行为树</t>
  </si>
  <si>
    <t>角色Tag</t>
  </si>
  <si>
    <t>立绘资源id</t>
  </si>
  <si>
    <t>玩偶外观控制ID</t>
  </si>
  <si>
    <t>角色祝福库ID</t>
  </si>
  <si>
    <t>金色祝福触发语音ID</t>
  </si>
  <si>
    <t>梦偶模型</t>
  </si>
  <si>
    <t>梦偶模型低模</t>
  </si>
  <si>
    <t>默认外放，填1代表屏蔽</t>
  </si>
  <si>
    <t>0：无阵营
1:  预留
2：预留
3：怪物
4：NPC
5：组件
6：可攻击组件
7-9 预留
10：角色01，角色的正常阵营
11：角色02，用于PVP玩法
阵营之间的可攻击关系参看《角色表》的“阵营关系对照”子表</t>
  </si>
  <si>
    <t>索引“流派表”</t>
  </si>
  <si>
    <t>索引“定位表”</t>
  </si>
  <si>
    <t>≤N次的时候,奖励的遗思id</t>
  </si>
  <si>
    <t>填卡池id
不是负责抽卡的同学这里不要填！！！！！！空着！！！！</t>
  </si>
  <si>
    <r>
      <rPr>
        <b/>
        <sz val="9"/>
        <color theme="1"/>
        <rFont val="微软雅黑"/>
        <family val="2"/>
        <charset val="134"/>
      </rPr>
      <t xml:space="preserve">索引“外观控制表”
</t>
    </r>
    <r>
      <rPr>
        <b/>
        <sz val="9"/>
        <color rgb="FFFF0000"/>
        <rFont val="微软雅黑"/>
        <family val="2"/>
        <charset val="134"/>
      </rPr>
      <t>公式</t>
    </r>
  </si>
  <si>
    <t>索引“升级消耗表”</t>
  </si>
  <si>
    <t>索引“数值模板表”</t>
  </si>
  <si>
    <t>受到攻击时扣除韧性值，韧性值没扣光之前，使用强韧护体值</t>
  </si>
  <si>
    <t>韧性被打空之后，多久后回满</t>
  </si>
  <si>
    <t>韧性值没扣光之前，使用强韧护体值</t>
  </si>
  <si>
    <t>怒气、魔法、能量、韧性条这些战斗资源类型，以及对应的参数，单独建表管理</t>
  </si>
  <si>
    <r>
      <rPr>
        <b/>
        <sz val="9"/>
        <color theme="1"/>
        <rFont val="微软雅黑"/>
        <family val="2"/>
        <charset val="134"/>
      </rPr>
      <t xml:space="preserve">按普攻、防御技、主动技的顺序
</t>
    </r>
    <r>
      <rPr>
        <b/>
        <sz val="9"/>
        <color rgb="FFFF0000"/>
        <rFont val="微软雅黑"/>
        <family val="2"/>
        <charset val="134"/>
      </rPr>
      <t>公式</t>
    </r>
  </si>
  <si>
    <t>索引《技能表-生活技能表》
不要和技能表中已有技能id重复</t>
  </si>
  <si>
    <t>索引到《索敌表》，是默认的索敌规则，在时间轴上能被《目标筛选表》覆盖</t>
  </si>
  <si>
    <t>填Buff的List，层数为1，时长无限</t>
  </si>
  <si>
    <t>索引Tag表</t>
  </si>
  <si>
    <r>
      <rPr>
        <b/>
        <sz val="9"/>
        <color theme="1"/>
        <rFont val="微软雅黑"/>
        <family val="2"/>
        <charset val="134"/>
      </rPr>
      <t xml:space="preserve">索引到《立绘资源表》
</t>
    </r>
    <r>
      <rPr>
        <b/>
        <sz val="9"/>
        <color rgb="FFFF0000"/>
        <rFont val="微软雅黑"/>
        <family val="2"/>
        <charset val="134"/>
      </rPr>
      <t>公式</t>
    </r>
  </si>
  <si>
    <t>暂定索引到“外观控制表”</t>
  </si>
  <si>
    <r>
      <rPr>
        <b/>
        <sz val="9"/>
        <color theme="1"/>
        <rFont val="微软雅黑"/>
        <family val="2"/>
        <charset val="134"/>
      </rPr>
      <t xml:space="preserve">索引到“祝福表-祝福库表"
</t>
    </r>
    <r>
      <rPr>
        <b/>
        <sz val="9"/>
        <color rgb="FFFF0000"/>
        <rFont val="微软雅黑"/>
        <family val="2"/>
        <charset val="134"/>
      </rPr>
      <t>公式</t>
    </r>
  </si>
  <si>
    <t>List(Int())</t>
  </si>
  <si>
    <t>str()</t>
  </si>
  <si>
    <r>
      <rPr>
        <b/>
        <sz val="9"/>
        <color theme="1"/>
        <rFont val="微软雅黑"/>
        <family val="2"/>
        <charset val="134"/>
      </rPr>
      <t>Int</t>
    </r>
    <r>
      <rPr>
        <b/>
        <sz val="9"/>
        <color theme="1"/>
        <rFont val="微软雅黑"/>
        <family val="2"/>
        <charset val="134"/>
      </rPr>
      <t>()</t>
    </r>
  </si>
  <si>
    <t>是</t>
  </si>
  <si>
    <t>0</t>
  </si>
  <si>
    <t>200</t>
  </si>
  <si>
    <r>
      <rPr>
        <sz val="9"/>
        <color theme="1"/>
        <rFont val="微软雅黑"/>
        <family val="2"/>
        <charset val="134"/>
      </rPr>
      <t>1002</t>
    </r>
    <r>
      <rPr>
        <sz val="9"/>
        <color theme="1"/>
        <rFont val="微软雅黑"/>
        <family val="2"/>
        <charset val="134"/>
      </rPr>
      <t>,10021,10022</t>
    </r>
  </si>
  <si>
    <t>45,300</t>
  </si>
  <si>
    <t>lobby_player</t>
  </si>
  <si>
    <t>50</t>
  </si>
  <si>
    <t xml:space="preserve"> &lt;yiyu&gt;荆棘&lt;/yiyu&gt;</t>
  </si>
  <si>
    <t>美即丑恶，痛苦即欢愉。</t>
  </si>
  <si>
    <t>现在才来，莫非在躲我？记住，惧怕我的人，寸步难行。</t>
  </si>
  <si>
    <t>随意拨乱我的荆藤，可是要付出代价的。</t>
  </si>
  <si>
    <t>又榨取了如此新鲜的疼痛，我的花儿们已经迫不及待了。</t>
  </si>
  <si>
    <t>在梦中踏过荆棘的痛苦并非完全虚假，有朝一日，你会领悟疼痛赐予的启示。</t>
  </si>
  <si>
    <t>62001</t>
  </si>
  <si>
    <t>1,2,3</t>
  </si>
  <si>
    <t>0.81</t>
  </si>
  <si>
    <t>2001,200101,200102</t>
  </si>
  <si>
    <t>200100</t>
  </si>
  <si>
    <t>2001</t>
  </si>
  <si>
    <t>player_base</t>
  </si>
  <si>
    <t>player_pvp</t>
  </si>
  <si>
    <t>4,2001</t>
  </si>
  <si>
    <r>
      <rPr>
        <sz val="9"/>
        <color theme="1"/>
        <rFont val="微软雅黑"/>
        <family val="2"/>
        <charset val="134"/>
      </rPr>
      <t>1</t>
    </r>
    <r>
      <rPr>
        <sz val="9"/>
        <color theme="1"/>
        <rFont val="微软雅黑"/>
        <family val="2"/>
        <charset val="134"/>
      </rPr>
      <t>366</t>
    </r>
  </si>
  <si>
    <t>Characters/Prefabs/6001_jingji.prefab</t>
  </si>
  <si>
    <t>Characters/Prefabs/6001_jingji_lobby.prefab</t>
  </si>
  <si>
    <t>人类对海洋恐惧的集合，拥有操纵洋流的能力，擅长驱使深海中的恐怖生物进行攻击</t>
  </si>
  <si>
    <t xml:space="preserve"> &lt;yiyu&gt;深海&lt;/yiyu&gt;</t>
  </si>
  <si>
    <t>不可窥探、不可违逆，我即怒涛与深渊！</t>
  </si>
  <si>
    <t>只是站着多无趣，跟我出海去找点刺激？</t>
  </si>
  <si>
    <t>我头顶这些家伙好像很喜欢你。</t>
  </si>
  <si>
    <t>现在，他们知道谁是这儿的老大了。</t>
  </si>
  <si>
    <t>不许做向失败屈服的懦夫，这是船长的命令。我们再试一次！</t>
  </si>
  <si>
    <r>
      <rPr>
        <sz val="9"/>
        <color theme="1"/>
        <rFont val="微软雅黑"/>
        <family val="2"/>
        <charset val="134"/>
      </rPr>
      <t>1,2</t>
    </r>
    <r>
      <rPr>
        <sz val="9"/>
        <color theme="1"/>
        <rFont val="微软雅黑"/>
        <family val="2"/>
        <charset val="134"/>
      </rPr>
      <t>,3</t>
    </r>
  </si>
  <si>
    <t>200400</t>
  </si>
  <si>
    <t>1,2004</t>
  </si>
  <si>
    <t>1252</t>
  </si>
  <si>
    <t>Characters/Prefabs/6004_shenhai.prefab</t>
  </si>
  <si>
    <t>Characters/Prefabs/6004_shenhai_lobby.prefab</t>
  </si>
  <si>
    <t xml:space="preserve"> &lt;yiyu&gt;加班&lt;/yiyu&gt;</t>
  </si>
  <si>
    <t>上班创造价值，谁创造了上班呢？</t>
  </si>
  <si>
    <t>为每一份热爱用心投入，在每一个深夜努力造梦。捕梦者，期待与你共事！</t>
  </si>
  <si>
    <t>怎么了？工作做不完？等我改完这个布梦方案就来协助你。</t>
  </si>
  <si>
    <t>工作圆满完成，老板，请验收成果。</t>
  </si>
  <si>
    <t>老板，我会复盘本次工作，梳理失败原因，找到具体责任人，进行布梦优化。</t>
  </si>
  <si>
    <t>200500</t>
  </si>
  <si>
    <t>2005</t>
  </si>
  <si>
    <t>3,2005</t>
  </si>
  <si>
    <t>1129</t>
  </si>
  <si>
    <t>Characters/Prefabs/6005_zhiyuan.prefab</t>
  </si>
  <si>
    <t>Characters/Prefabs/6005_zhiyuan_lobby.prefab</t>
  </si>
  <si>
    <t xml:space="preserve"> &lt;yiyu&gt;甜食&lt;/yiyu&gt;</t>
  </si>
  <si>
    <t>甜食令人快乐，快乐无需称量。</t>
  </si>
  <si>
    <t>焦糖曲奇饼干真是太太太太——太好吃啦，也给你一块！</t>
  </si>
  <si>
    <t>我知道，你又想吃糖啦。给你棒棒糖，开心笑一笑，好吗？</t>
  </si>
  <si>
    <t>把胜利做成糖豆，嵌进曲奇里，一定会让这个梦境——甜度爆表！</t>
  </si>
  <si>
    <t>奶油打发过度，糖粉比例失衡，烘烤时间过长。这个蛋糕失败！失败！失败啦！</t>
  </si>
  <si>
    <t>200700</t>
  </si>
  <si>
    <t>2007</t>
  </si>
  <si>
    <t>1,2007</t>
  </si>
  <si>
    <t>1146</t>
  </si>
  <si>
    <t>Characters/Prefabs/6007_tianshi.prefab</t>
  </si>
  <si>
    <t>Characters/Prefabs/6007_tianshi_lobby.prefab</t>
  </si>
  <si>
    <t xml:space="preserve"> &lt;yiyu&gt;病愈&lt;/yiyu&gt;</t>
  </si>
  <si>
    <t>想要驱散梦中病痛，想要重见你的笑容。</t>
  </si>
  <si>
    <t>你看起来很健康，真是太好啦。</t>
  </si>
  <si>
    <t>捕梦者的手，真温暖，这是健康的象征呢。</t>
  </si>
  <si>
    <t>请先让冬葵检查一下……呼，太好了，大家都没有受重伤。</t>
  </si>
  <si>
    <t>对不起，冬葵没能保护好你……</t>
  </si>
  <si>
    <t>2008</t>
  </si>
  <si>
    <t>5,2008</t>
  </si>
  <si>
    <r>
      <rPr>
        <sz val="9"/>
        <color theme="1"/>
        <rFont val="微软雅黑"/>
        <family val="2"/>
        <charset val="134"/>
      </rPr>
      <t>1</t>
    </r>
    <r>
      <rPr>
        <sz val="9"/>
        <color theme="1"/>
        <rFont val="微软雅黑"/>
        <family val="2"/>
        <charset val="134"/>
      </rPr>
      <t>355</t>
    </r>
  </si>
  <si>
    <t>Characters/Prefabs/6008_zhiyu.prefab</t>
  </si>
  <si>
    <t>Characters/Prefabs/6008_zhiyu_lobby.prefab</t>
  </si>
  <si>
    <t>点我干嘛</t>
  </si>
  <si>
    <t>星夜之梦胜利台词</t>
  </si>
  <si>
    <t>星夜之梦失败台词</t>
  </si>
  <si>
    <t xml:space="preserve"> &lt;yiyu&gt;荒诞&lt;/yiyu&gt;</t>
  </si>
  <si>
    <t>荒诞的底色，是不幸者的斑斓。</t>
  </si>
  <si>
    <t>捕梦者，笑一个！哎呀，你牙上有菜叶！</t>
  </si>
  <si>
    <t>刚染的头发，现在也染染你的手！</t>
  </si>
  <si>
    <t>你在规则内胜利啦，真开心啊。我们都是规则的木偶，和我扭曲着跳舞吧！庆祝吧！</t>
  </si>
  <si>
    <t>失败，是荒谬本质的另一张面具。笑话它吧，笑话自己吧！让失败也为此疑惑。</t>
  </si>
  <si>
    <t>2011</t>
  </si>
  <si>
    <t>3,2011</t>
  </si>
  <si>
    <r>
      <rPr>
        <sz val="9"/>
        <color theme="1"/>
        <rFont val="微软雅黑"/>
        <family val="2"/>
        <charset val="134"/>
      </rPr>
      <t>1</t>
    </r>
    <r>
      <rPr>
        <sz val="9"/>
        <color theme="1"/>
        <rFont val="微软雅黑"/>
        <family val="2"/>
        <charset val="134"/>
      </rPr>
      <t>095</t>
    </r>
  </si>
  <si>
    <t>Characters/Prefabs/6011_huangdan.prefab</t>
  </si>
  <si>
    <t>Characters/Prefabs/6011_huangdan_lobby.prefab</t>
  </si>
  <si>
    <t xml:space="preserve"> &lt;yiyu&gt;毛茸茸&lt;/yiyu&gt;</t>
  </si>
  <si>
    <t>谁是世界上最可爱的梦灵？</t>
  </si>
  <si>
    <t>好了，现在你可以摸呼噜了！</t>
  </si>
  <si>
    <t>你也喜欢呼噜的大耳朵对吧？呼噜可是什么都知道。</t>
  </si>
  <si>
    <t>奖励呢？给呼噜的奖励在哪里？</t>
  </si>
  <si>
    <t>别不开心啦，让呼噜抱一抱，没什么大不了。</t>
  </si>
  <si>
    <t>45,20120105,300</t>
  </si>
  <si>
    <t>1,2012</t>
  </si>
  <si>
    <r>
      <rPr>
        <sz val="9"/>
        <color theme="1"/>
        <rFont val="微软雅黑"/>
        <family val="2"/>
        <charset val="134"/>
      </rPr>
      <t>1</t>
    </r>
    <r>
      <rPr>
        <sz val="9"/>
        <color theme="1"/>
        <rFont val="微软雅黑"/>
        <family val="2"/>
        <charset val="134"/>
      </rPr>
      <t>344</t>
    </r>
  </si>
  <si>
    <t>Characters/Prefabs/6012_maorongrong.prefab</t>
  </si>
  <si>
    <t>Characters/Prefabs/6012_maorongrong_lobby.prefab</t>
  </si>
  <si>
    <t>飞翔之梦胜利台词</t>
  </si>
  <si>
    <t>飞翔之梦失败台词</t>
  </si>
  <si>
    <t xml:space="preserve"> &lt;yiyu&gt;战争&lt;/yiyu&gt;</t>
  </si>
  <si>
    <t>不畏惧任何战争的挑衅，不放弃任何和平的可能。</t>
  </si>
  <si>
    <t>捕梦者，再不训练，战意和肌肉都要消失了。</t>
  </si>
  <si>
    <t>战士的头顶，不可触碰。</t>
  </si>
  <si>
    <t>这份荣誉属于每一位梦乡的战士。</t>
  </si>
  <si>
    <t>战争……没有胜者。</t>
  </si>
  <si>
    <t>1,5</t>
  </si>
  <si>
    <t>2014</t>
  </si>
  <si>
    <t>1,2014</t>
  </si>
  <si>
    <r>
      <rPr>
        <sz val="9"/>
        <color theme="1"/>
        <rFont val="微软雅黑"/>
        <family val="2"/>
        <charset val="134"/>
      </rPr>
      <t>1</t>
    </r>
    <r>
      <rPr>
        <sz val="9"/>
        <color theme="1"/>
        <rFont val="微软雅黑"/>
        <family val="2"/>
        <charset val="134"/>
      </rPr>
      <t>112</t>
    </r>
  </si>
  <si>
    <t>Characters/Prefabs/6014_zhanzheng.prefab</t>
  </si>
  <si>
    <t>Characters/Prefabs/6014_zhanzheng_lobby.prefab</t>
  </si>
  <si>
    <t>&lt;yiyu&gt;拖延&lt;/yiyu&gt;</t>
  </si>
  <si>
    <t>今天做不完的事情，就留给明天吧，有的是时间。</t>
  </si>
  <si>
    <t>捕梦者，我抓到你偷懒了！不陪我玩，就让你工作拖延！</t>
  </si>
  <si>
    <t>喂！不要揪我的尾巴！</t>
  </si>
  <si>
    <t>时间会证明一切。怎么样，我厉害吧？</t>
  </si>
  <si>
    <t>反正已经做不完了，下次再说吧。</t>
  </si>
  <si>
    <t>2015</t>
  </si>
  <si>
    <t>5,2015</t>
  </si>
  <si>
    <r>
      <rPr>
        <sz val="9"/>
        <color theme="1"/>
        <rFont val="微软雅黑"/>
        <family val="2"/>
        <charset val="134"/>
      </rPr>
      <t>1</t>
    </r>
    <r>
      <rPr>
        <sz val="9"/>
        <color theme="1"/>
        <rFont val="微软雅黑"/>
        <family val="2"/>
        <charset val="134"/>
      </rPr>
      <t>377</t>
    </r>
  </si>
  <si>
    <t>Characters/Prefabs/6015_tuoyan.prefab</t>
  </si>
  <si>
    <t>Characters/Prefabs/6015_tuoyan_lobby.prefab</t>
  </si>
  <si>
    <t>台词</t>
  </si>
  <si>
    <t>衰老之梦胜利台词</t>
  </si>
  <si>
    <t>衰老之梦失败台词</t>
  </si>
  <si>
    <t>7,2016</t>
  </si>
  <si>
    <t>Characters/Prefabs/6016_shuailao.prefab</t>
  </si>
  <si>
    <t>Characters/Prefabs/6016_shuailao_lobby.prefab</t>
  </si>
  <si>
    <t>否</t>
  </si>
  <si>
    <t>花之梦胜利台词</t>
  </si>
  <si>
    <t>花之梦失败台词</t>
  </si>
  <si>
    <t xml:space="preserve"> &lt;yiyu&gt;囚笼&lt;/yiyu&gt;</t>
  </si>
  <si>
    <t>我爱你，我会永远爱你。只要别逃出去。</t>
  </si>
  <si>
    <t>你好啊，小夜莺，想要出去玩吗？嘘——可我不喜欢这个答案。</t>
  </si>
  <si>
    <t>你在向我示好吗，小夜莺？离得这么远可不行哦。</t>
  </si>
  <si>
    <t>瞧啊，你们被我保护得多好。</t>
  </si>
  <si>
    <t>梦乡如此危险，你们还是乖乖待在我身边吧。</t>
  </si>
  <si>
    <t>4,5</t>
  </si>
  <si>
    <t>201800</t>
  </si>
  <si>
    <t>2018</t>
  </si>
  <si>
    <t>7,2018</t>
  </si>
  <si>
    <r>
      <rPr>
        <sz val="9"/>
        <color theme="1"/>
        <rFont val="微软雅黑"/>
        <family val="2"/>
        <charset val="134"/>
      </rPr>
      <t>1</t>
    </r>
    <r>
      <rPr>
        <sz val="9"/>
        <color theme="1"/>
        <rFont val="微软雅黑"/>
        <family val="2"/>
        <charset val="134"/>
      </rPr>
      <t>078</t>
    </r>
  </si>
  <si>
    <t>Characters/Prefabs/6018_qiulong.prefab</t>
  </si>
  <si>
    <t>Characters/Prefabs/6018_qiulong_lobby.prefab</t>
  </si>
  <si>
    <t>死亡之梦胜利台词</t>
  </si>
  <si>
    <t>死亡之梦失败台词</t>
  </si>
  <si>
    <t>2019</t>
  </si>
  <si>
    <t xml:space="preserve"> &lt;yiyu&gt;博弈&lt;/yiyu&gt;</t>
  </si>
  <si>
    <t>一切“意料之外”，尽在掌控之中。</t>
  </si>
  <si>
    <t>我在思考，请保持沉默。</t>
  </si>
  <si>
    <t>别摸，帽子里没有鸽子，也没有鲜花，只有梦乡最机敏的大脑。</t>
  </si>
  <si>
    <t>你的胜利预期过于保守。做梦而已，怎么不多点野心？</t>
  </si>
  <si>
    <t>嗯？</t>
  </si>
  <si>
    <t>2020</t>
  </si>
  <si>
    <t>202002,202004,202005,45,300</t>
  </si>
  <si>
    <t>4,2020</t>
  </si>
  <si>
    <r>
      <rPr>
        <sz val="9"/>
        <color theme="1"/>
        <rFont val="微软雅黑"/>
        <family val="2"/>
        <charset val="134"/>
      </rPr>
      <t>1</t>
    </r>
    <r>
      <rPr>
        <sz val="9"/>
        <color theme="1"/>
        <rFont val="微软雅黑"/>
        <family val="2"/>
        <charset val="134"/>
      </rPr>
      <t>061</t>
    </r>
  </si>
  <si>
    <t>Characters/Prefabs/6020_boyi.prefab</t>
  </si>
  <si>
    <t>Characters/Prefabs/6020_boyi_lobby.prefab</t>
  </si>
  <si>
    <t>考试之梦胜利台词</t>
  </si>
  <si>
    <t>考试之梦失败台词</t>
  </si>
  <si>
    <t>2021</t>
  </si>
  <si>
    <t>5,2021</t>
  </si>
  <si>
    <t xml:space="preserve"> &lt;yiyu&gt;暴富&lt;/yiyu&gt;</t>
  </si>
  <si>
    <t>金钱从不作恶，欲望引人沉沦。</t>
  </si>
  <si>
    <r>
      <rPr>
        <sz val="10"/>
        <color theme="1"/>
        <rFont val="宋体"/>
        <family val="3"/>
        <charset val="134"/>
      </rPr>
      <t>快来给本小姐捏捏肩膀！</t>
    </r>
    <r>
      <rPr>
        <sz val="10"/>
        <color theme="1"/>
        <rFont val="Arial"/>
        <family val="2"/>
      </rPr>
      <t xml:space="preserve"> </t>
    </r>
  </si>
  <si>
    <t>想讨好我？这可不够，先叫一声“最聪明的黛西小姐”，让我高兴高兴！</t>
  </si>
  <si>
    <t>没有钱解决不了的事情，如果有，那就是钱不够。而本小姐在，钱管够！</t>
  </si>
  <si>
    <t>天呐，这世上居然有砸了钱还解决不了的事，我该不会在做梦吧？</t>
  </si>
  <si>
    <t>0.99</t>
  </si>
  <si>
    <t>2022</t>
  </si>
  <si>
    <t>4,2022</t>
  </si>
  <si>
    <t>1231</t>
  </si>
  <si>
    <t>Characters/Prefabs/6022_baofu.prefab</t>
  </si>
  <si>
    <t>Characters/Prefabs/6022_baofu_lobby.prefab</t>
  </si>
  <si>
    <t xml:space="preserve"> &lt;yiyu&gt;狩猎&lt;/yiyu&gt;</t>
  </si>
  <si>
    <t>回应你的本能，追逐猎物，或被当作猎物追逐。</t>
  </si>
  <si>
    <t>捕梦者，从进入我视野范围的那一刻起，你就该保持警惕。</t>
  </si>
  <si>
    <t>尖刺扎手，小心。</t>
  </si>
  <si>
    <t>精彩的狩猎，捕梦者，猎物归你了。</t>
  </si>
  <si>
    <t>猎人，有时候也会以猎物的形式出现。下次记得仔细辨别。</t>
  </si>
  <si>
    <t>0.93</t>
  </si>
  <si>
    <t>2023</t>
  </si>
  <si>
    <t>45,202301,300</t>
  </si>
  <si>
    <t>4,2023</t>
  </si>
  <si>
    <r>
      <rPr>
        <sz val="9"/>
        <color theme="1"/>
        <rFont val="微软雅黑"/>
        <family val="2"/>
        <charset val="134"/>
      </rPr>
      <t>1</t>
    </r>
    <r>
      <rPr>
        <sz val="9"/>
        <color theme="1"/>
        <rFont val="微软雅黑"/>
        <family val="2"/>
        <charset val="134"/>
      </rPr>
      <t>399</t>
    </r>
  </si>
  <si>
    <t>Characters/Prefabs/6023_shoulie.prefab</t>
  </si>
  <si>
    <t>Characters/Prefabs/6023_shoulie_lobby.prefab</t>
  </si>
  <si>
    <t xml:space="preserve"> &lt;yiyu&gt;荒漠&lt;/yiyu&gt;</t>
  </si>
  <si>
    <t>荒瘠是永恒的骨架，生命不过是终将风干的血肉。</t>
  </si>
  <si>
    <t xml:space="preserve">喝水。
</t>
  </si>
  <si>
    <t>别碰，有风沙。</t>
  </si>
  <si>
    <t>荒瘠的梦，结出了胜利的果实。</t>
  </si>
  <si>
    <t>失败者，终将随风而逝。</t>
  </si>
  <si>
    <t>1,2024</t>
  </si>
  <si>
    <r>
      <rPr>
        <sz val="9"/>
        <color theme="1"/>
        <rFont val="微软雅黑"/>
        <family val="2"/>
        <charset val="134"/>
      </rPr>
      <t>1</t>
    </r>
    <r>
      <rPr>
        <sz val="9"/>
        <color theme="1"/>
        <rFont val="微软雅黑"/>
        <family val="2"/>
        <charset val="134"/>
      </rPr>
      <t>333</t>
    </r>
  </si>
  <si>
    <t>Characters/Prefabs/6024_huangmo.prefab</t>
  </si>
  <si>
    <t>Characters/Prefabs/6024_huangmo_lobby.prefab</t>
  </si>
  <si>
    <t xml:space="preserve"> &lt;yiyu&gt;通灵&lt;/yiyu&gt;</t>
  </si>
  <si>
    <t>万灵归源，我见你所念。</t>
  </si>
  <si>
    <t>从前有座乌有山，山里有座阴阳庙……欸，捕梦者你别走啊，后面可精彩了，绝对不吓人，我发誓！</t>
  </si>
  <si>
    <t>你……不怕我吗？</t>
  </si>
  <si>
    <t>赢啦！这份胜利要感谢看不见的大人们哦！</t>
  </si>
  <si>
    <t>天灵灵，地灵灵，奇梦怪诡要显灵。</t>
  </si>
  <si>
    <t>3,2026</t>
  </si>
  <si>
    <t>1044</t>
  </si>
  <si>
    <t>Characters/Prefabs/6026_tongling.prefab</t>
  </si>
  <si>
    <t>Characters/Prefabs/6026_tongling_lobby.prefab</t>
  </si>
  <si>
    <t>噪音之梦胜利台词</t>
  </si>
  <si>
    <t>噪音之梦失败台词</t>
  </si>
  <si>
    <t>7,2028</t>
  </si>
  <si>
    <t>Characters/Prefabs/6028_zaoyin.prefab</t>
  </si>
  <si>
    <t>Characters/Prefabs/6028_zaoyin_lobby.prefab</t>
  </si>
  <si>
    <t>英雄之梦胜利台词</t>
  </si>
  <si>
    <t>英雄之梦失败台词</t>
  </si>
  <si>
    <t>2029,202901,202902</t>
  </si>
  <si>
    <t>1,2029</t>
  </si>
  <si>
    <t>Characters/Prefabs/6029_yingxiong.prefab</t>
  </si>
  <si>
    <t>Characters/Prefabs/6029_yingxiong_lobby.prefab</t>
  </si>
  <si>
    <t xml:space="preserve"> &lt;yiyu&gt;镜&lt;/yiyu&gt;</t>
  </si>
  <si>
    <t>不必去他处寻求美了，我就是美的化身。</t>
  </si>
  <si>
    <t>我知道你是被我的美貌吸引而来的，不用解释，这再常见不过了。</t>
  </si>
  <si>
    <t>住手，俗人的手会玷污我的发丝。</t>
  </si>
  <si>
    <t>不出所料，你也被我的美征服了吧。</t>
  </si>
  <si>
    <t>真粗鲁，镜子都被弄脏了。</t>
  </si>
  <si>
    <t>45,62030050,300</t>
  </si>
  <si>
    <t>5,2030</t>
  </si>
  <si>
    <r>
      <rPr>
        <sz val="9"/>
        <color theme="1"/>
        <rFont val="微软雅黑"/>
        <family val="2"/>
        <charset val="134"/>
      </rPr>
      <t>1</t>
    </r>
    <r>
      <rPr>
        <sz val="9"/>
        <color theme="1"/>
        <rFont val="微软雅黑"/>
        <family val="2"/>
        <charset val="134"/>
      </rPr>
      <t>309</t>
    </r>
  </si>
  <si>
    <t>Characters/Prefabs/6030_jing.prefab</t>
  </si>
  <si>
    <t>Characters/Prefabs/6030_jing_lobby.prefab</t>
  </si>
  <si>
    <t xml:space="preserve"> &lt;yiyu&gt;贫穷&lt;/yiyu&gt;</t>
  </si>
  <si>
    <r>
      <rPr>
        <sz val="10"/>
        <color theme="1"/>
        <rFont val="Arial"/>
        <family val="2"/>
      </rPr>
      <t>“</t>
    </r>
    <r>
      <rPr>
        <sz val="10"/>
        <color theme="1"/>
        <rFont val="宋体"/>
        <family val="3"/>
        <charset val="134"/>
      </rPr>
      <t>一无所有</t>
    </r>
    <r>
      <rPr>
        <sz val="10"/>
        <color theme="1"/>
        <rFont val="Arial"/>
        <family val="2"/>
      </rPr>
      <t>”</t>
    </r>
    <r>
      <rPr>
        <sz val="10"/>
        <color theme="1"/>
        <rFont val="宋体"/>
        <family val="3"/>
        <charset val="134"/>
      </rPr>
      <t xml:space="preserve">，也是一种轻快与自由。
</t>
    </r>
  </si>
  <si>
    <t>好香！你找到了什么好东西？是铁皮桶的碎屑，还是新鲜出炉的心念？</t>
  </si>
  <si>
    <t>不准折我的耳朵！会变矮的！</t>
  </si>
  <si>
    <t>等等我！这次收获的宝贝太多了，我的罐头——要拖不动了——</t>
  </si>
  <si>
    <t>先逃走吧！没关系，我已经做了标记，下次再来好了。</t>
  </si>
  <si>
    <r>
      <rPr>
        <sz val="9"/>
        <color theme="1"/>
        <rFont val="微软雅黑"/>
        <family val="2"/>
        <charset val="134"/>
      </rPr>
      <t>7</t>
    </r>
    <r>
      <rPr>
        <sz val="9"/>
        <color theme="1"/>
        <rFont val="微软雅黑"/>
        <family val="2"/>
        <charset val="134"/>
      </rPr>
      <t>,2032</t>
    </r>
  </si>
  <si>
    <r>
      <rPr>
        <sz val="9"/>
        <color theme="1"/>
        <rFont val="微软雅黑"/>
        <family val="2"/>
        <charset val="134"/>
      </rPr>
      <t>1</t>
    </r>
    <r>
      <rPr>
        <sz val="9"/>
        <color theme="1"/>
        <rFont val="微软雅黑"/>
        <family val="2"/>
        <charset val="134"/>
      </rPr>
      <t>322</t>
    </r>
  </si>
  <si>
    <t>Characters/Prefabs/6032_pinqiong.prefab</t>
  </si>
  <si>
    <t>Characters/Prefabs/6032_pinqiong_lobby.prefab</t>
  </si>
  <si>
    <t xml:space="preserve"> &lt;yiyu&gt;云&lt;/yiyu&gt;</t>
  </si>
  <si>
    <t>不管晴天还是雨天，都要保持好心情噢！</t>
  </si>
  <si>
    <t>哇，你可算来啦！今天要和漫朵去哪里冒险呢？</t>
  </si>
  <si>
    <t>轻点呀，发梢的云会飘走的！</t>
  </si>
  <si>
    <t>锵锵~彩虹冒险队，探索成功！</t>
  </si>
  <si>
    <t>我、我不是故意的……呜哇——</t>
  </si>
  <si>
    <r>
      <rPr>
        <sz val="9"/>
        <color theme="1"/>
        <rFont val="微软雅黑"/>
        <family val="2"/>
        <charset val="134"/>
      </rPr>
      <t>1</t>
    </r>
    <r>
      <rPr>
        <sz val="9"/>
        <color theme="1"/>
        <rFont val="微软雅黑"/>
        <family val="2"/>
        <charset val="134"/>
      </rPr>
      <t>388</t>
    </r>
  </si>
  <si>
    <t>Characters/Prefabs/6035_yun.prefab</t>
  </si>
  <si>
    <t>Characters/Prefabs/6035_yun_lobby.prefab</t>
  </si>
  <si>
    <t xml:space="preserve"> &lt;yiyu&gt;爆破&lt;/yiyu&gt;</t>
  </si>
  <si>
    <t>刀光追竹影，立刃破黄粱。</t>
  </si>
  <si>
    <t>既然得空，不如随我去江湖一游，行侠仗义，岂不快哉？</t>
  </si>
  <si>
    <t>想看看头上的发簪？早说啊。送你了，我再折一支去。</t>
  </si>
  <si>
    <t>承让。</t>
  </si>
  <si>
    <t>这场打得畅快，再来！</t>
  </si>
  <si>
    <t xml:space="preserve"> &lt;yiyu&gt;解答&lt;/yiyu&gt;</t>
  </si>
  <si>
    <t>204099</t>
  </si>
  <si>
    <t xml:space="preserve"> &lt;yiyu&gt;侠&lt;/yiyu&gt;</t>
  </si>
  <si>
    <r>
      <rPr>
        <sz val="9"/>
        <color theme="1"/>
        <rFont val="微软雅黑"/>
        <family val="2"/>
        <charset val="134"/>
      </rPr>
      <t>2</t>
    </r>
    <r>
      <rPr>
        <sz val="9"/>
        <color theme="1"/>
        <rFont val="微软雅黑"/>
        <family val="2"/>
        <charset val="134"/>
      </rPr>
      <t>04600</t>
    </r>
  </si>
  <si>
    <r>
      <rPr>
        <sz val="9"/>
        <color theme="1"/>
        <rFont val="微软雅黑"/>
        <family val="2"/>
        <charset val="134"/>
      </rPr>
      <t>2</t>
    </r>
    <r>
      <rPr>
        <sz val="9"/>
        <color theme="1"/>
        <rFont val="微软雅黑"/>
        <family val="2"/>
        <charset val="134"/>
      </rPr>
      <t>046</t>
    </r>
  </si>
  <si>
    <t>45,204601,300</t>
  </si>
  <si>
    <t>1,2046,204602</t>
  </si>
  <si>
    <r>
      <rPr>
        <sz val="9"/>
        <color theme="1"/>
        <rFont val="微软雅黑"/>
        <family val="2"/>
        <charset val="134"/>
      </rPr>
      <t>1</t>
    </r>
    <r>
      <rPr>
        <sz val="9"/>
        <color theme="1"/>
        <rFont val="微软雅黑"/>
        <family val="2"/>
        <charset val="134"/>
      </rPr>
      <t>273</t>
    </r>
  </si>
  <si>
    <t>Characters/Prefabs/6046_xiake.prefab</t>
  </si>
  <si>
    <t>Characters/Prefabs/6046_xiake_lobby.prefab</t>
  </si>
  <si>
    <t xml:space="preserve"> &lt;yiyu&gt;爽约&lt;/yiyu&gt;</t>
  </si>
  <si>
    <t>45,300,205201</t>
  </si>
  <si>
    <t>3,2052</t>
  </si>
  <si>
    <t>Characters/Prefabs/6052_shuangyue.prefab</t>
  </si>
  <si>
    <t>Characters/Prefabs/6052_shuangyue_lobby.prefab</t>
  </si>
  <si>
    <t>2050</t>
  </si>
  <si>
    <t>薰</t>
  </si>
  <si>
    <t>情动之梦</t>
  </si>
  <si>
    <t>2033</t>
    <phoneticPr fontId="7" type="noConversion"/>
  </si>
  <si>
    <t>迪斯科</t>
    <phoneticPr fontId="7" type="noConversion"/>
  </si>
  <si>
    <t>派对之梦</t>
    <phoneticPr fontId="7" type="noConversion"/>
  </si>
  <si>
    <t>1</t>
    <phoneticPr fontId="7" type="noConversion"/>
  </si>
  <si>
    <t>2</t>
    <phoneticPr fontId="7" type="noConversion"/>
  </si>
  <si>
    <t xml:space="preserve"> &lt;yiyu&gt;派对&lt;/yiyu&gt;</t>
    <phoneticPr fontId="7" type="noConversion"/>
  </si>
  <si>
    <t>巴拉巴拉</t>
    <phoneticPr fontId="7" type="noConversion"/>
  </si>
  <si>
    <t>4,2033</t>
    <phoneticPr fontId="7" type="noConversion"/>
  </si>
  <si>
    <t>承让。</t>
    <phoneticPr fontId="0" type="noConversion"/>
  </si>
  <si>
    <t>1011</t>
    <phoneticPr fontId="0" type="noConversion"/>
  </si>
  <si>
    <t>卷卷</t>
    <phoneticPr fontId="0" type="noConversion"/>
  </si>
  <si>
    <t>1</t>
    <phoneticPr fontId="0" type="noConversion"/>
  </si>
  <si>
    <t>1</t>
    <phoneticPr fontId="0" type="noConversion"/>
  </si>
  <si>
    <t>参考攻击盒表-受击对照表护体值</t>
    <phoneticPr fontId="0" type="noConversion"/>
  </si>
  <si>
    <t>101101,101102,101103,101104</t>
    <phoneticPr fontId="0" type="noConversion"/>
  </si>
  <si>
    <t>1</t>
    <phoneticPr fontId="0" type="noConversion"/>
  </si>
  <si>
    <t>2013</t>
    <phoneticPr fontId="0" type="noConversion"/>
  </si>
  <si>
    <t>1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</si>
</sst>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等线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0"/>
      <color theme="1"/>
      <name val="Arial"/>
      <family val="2"/>
    </font>
    <font>
      <sz val="10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b/>
      <sz val="9"/>
      <color rgb="FFFF0000"/>
      <name val="微软雅黑"/>
      <family val="2"/>
      <charset val="134"/>
    </font>
    <font>
      <sz val="9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723807489242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2" fillId="7" borderId="1" xfId="0" applyNumberFormat="1" applyFont="1" applyFill="1" applyBorder="1" applyAlignment="1">
      <alignment horizontal="center" vertical="center" wrapText="1"/>
    </xf>
    <xf numFmtId="49" fontId="2" fillId="8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49" fontId="2" fillId="1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1" fillId="7" borderId="0" xfId="0" applyNumberFormat="1" applyFont="1" applyFill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3" fontId="1" fillId="0" borderId="1" xfId="0" quotePrefix="1" applyNumberFormat="1" applyFont="1" applyBorder="1" applyAlignment="1">
      <alignment horizontal="center" vertical="center" wrapText="1"/>
    </xf>
    <xf numFmtId="49" fontId="1" fillId="11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433"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400050</xdr:colOff>
      <xdr:row>33</xdr:row>
      <xdr:rowOff>171450</xdr:rowOff>
    </xdr:from>
    <xdr:to>
      <xdr:col>10</xdr:col>
      <xdr:colOff>552450</xdr:colOff>
      <xdr:row>58</xdr:row>
      <xdr:rowOff>38099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6475" y="6324600"/>
          <a:ext cx="4210050" cy="43910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3"/>
  <sheetViews>
    <sheetView tabSelected="1" workbookViewId="0">
      <pane xSplit="4" ySplit="4" topLeftCell="E38" activePane="bottomRight" state="frozen"/>
      <selection pane="topRight"/>
      <selection pane="bottomLeft"/>
      <selection pane="bottomRight" activeCell="J43" sqref="J43"/>
    </sheetView>
  </sheetViews>
  <sheetFormatPr defaultColWidth="9" defaultRowHeight="14.25" x14ac:dyDescent="0.2"/>
  <cols>
    <col min="1" max="1" width="12.875" style="3" customWidth="1"/>
    <col min="2" max="2" width="10.375" style="3" customWidth="1"/>
    <col min="3" max="3" width="8.25" style="3" customWidth="1"/>
    <col min="4" max="4" width="10.625" style="3" customWidth="1"/>
    <col min="5" max="5" width="12.875" style="3" customWidth="1"/>
    <col min="6" max="7" width="11.125" style="3" customWidth="1"/>
    <col min="8" max="8" width="16.125" style="3" customWidth="1"/>
    <col min="9" max="9" width="14.5" style="3" customWidth="1"/>
    <col min="10" max="12" width="16.125" style="3" customWidth="1"/>
    <col min="13" max="13" width="21" customWidth="1"/>
    <col min="14" max="15" width="16.125" style="3" customWidth="1"/>
    <col min="16" max="17" width="12.5" style="3" customWidth="1"/>
    <col min="18" max="18" width="17" style="3" customWidth="1"/>
    <col min="19" max="19" width="21.625" style="3" customWidth="1"/>
    <col min="20" max="21" width="16.125" style="12" customWidth="1"/>
    <col min="22" max="22" width="16.125" style="3" customWidth="1"/>
    <col min="23" max="23" width="14" style="4" customWidth="1"/>
    <col min="24" max="24" width="15.25" style="4" customWidth="1"/>
    <col min="25" max="25" width="15.625" style="4" customWidth="1"/>
    <col min="26" max="27" width="16.125" style="4" customWidth="1"/>
    <col min="28" max="28" width="17.875" style="4" customWidth="1"/>
    <col min="29" max="29" width="23.375" style="4" customWidth="1"/>
    <col min="30" max="31" width="22.625" style="4" customWidth="1"/>
    <col min="32" max="33" width="24.375" style="4" customWidth="1"/>
    <col min="34" max="35" width="26.375" style="3" customWidth="1"/>
    <col min="36" max="36" width="19.25" style="3" customWidth="1"/>
    <col min="37" max="39" width="16.125" style="3" customWidth="1"/>
    <col min="40" max="40" width="14.25" style="3" customWidth="1"/>
    <col min="41" max="41" width="16.125" style="3" customWidth="1"/>
    <col min="42" max="42" width="19" style="12" customWidth="1"/>
    <col min="43" max="43" width="21.375" style="3" customWidth="1"/>
    <col min="44" max="44" width="21.375" style="12" customWidth="1"/>
    <col min="45" max="45" width="36.25" style="3" customWidth="1"/>
    <col min="46" max="46" width="42.875" style="3" customWidth="1"/>
    <col min="47" max="47" width="9.875" style="3" customWidth="1"/>
    <col min="48" max="50" width="9" style="3" customWidth="1"/>
    <col min="51" max="16384" width="9" style="3"/>
  </cols>
  <sheetData>
    <row r="1" spans="1:47" s="7" customFormat="1" ht="28.5" x14ac:dyDescent="0.2">
      <c r="A1" s="7" t="s">
        <v>0</v>
      </c>
      <c r="B1" s="8" t="s">
        <v>1</v>
      </c>
      <c r="C1" s="7" t="s">
        <v>2</v>
      </c>
      <c r="D1" s="7" t="s">
        <v>3</v>
      </c>
      <c r="E1" s="7" t="s">
        <v>168</v>
      </c>
      <c r="F1" s="7" t="s">
        <v>169</v>
      </c>
      <c r="G1" s="7" t="s">
        <v>170</v>
      </c>
      <c r="H1" s="7" t="s">
        <v>171</v>
      </c>
      <c r="I1" s="7" t="s">
        <v>172</v>
      </c>
      <c r="J1" s="7" t="s">
        <v>173</v>
      </c>
      <c r="K1" s="7" t="s">
        <v>174</v>
      </c>
      <c r="L1" s="7" t="s">
        <v>175</v>
      </c>
      <c r="M1" s="7" t="s">
        <v>176</v>
      </c>
      <c r="N1" s="7" t="s">
        <v>177</v>
      </c>
      <c r="O1" s="7" t="s">
        <v>178</v>
      </c>
      <c r="P1" s="13" t="s">
        <v>179</v>
      </c>
      <c r="Q1" s="13" t="s">
        <v>180</v>
      </c>
      <c r="R1" s="13" t="s">
        <v>181</v>
      </c>
      <c r="S1" s="13" t="s">
        <v>182</v>
      </c>
      <c r="T1" s="23" t="s">
        <v>183</v>
      </c>
      <c r="U1" s="23" t="s">
        <v>184</v>
      </c>
      <c r="V1" s="9" t="s">
        <v>185</v>
      </c>
      <c r="W1" s="9" t="s">
        <v>4</v>
      </c>
      <c r="X1" s="9" t="s">
        <v>5</v>
      </c>
      <c r="Y1" s="9" t="s">
        <v>6</v>
      </c>
      <c r="Z1" s="9" t="s">
        <v>186</v>
      </c>
      <c r="AA1" s="9" t="s">
        <v>187</v>
      </c>
      <c r="AB1" s="7" t="s">
        <v>188</v>
      </c>
      <c r="AC1" s="9" t="s">
        <v>189</v>
      </c>
      <c r="AD1" s="9" t="s">
        <v>190</v>
      </c>
      <c r="AE1" s="9" t="s">
        <v>191</v>
      </c>
      <c r="AF1" s="7" t="s">
        <v>192</v>
      </c>
      <c r="AG1" s="7" t="s">
        <v>193</v>
      </c>
      <c r="AH1" s="9" t="s">
        <v>194</v>
      </c>
      <c r="AI1" s="9" t="s">
        <v>195</v>
      </c>
      <c r="AJ1" s="9" t="s">
        <v>196</v>
      </c>
      <c r="AK1" s="7" t="s">
        <v>197</v>
      </c>
      <c r="AL1" s="7" t="s">
        <v>198</v>
      </c>
      <c r="AM1" s="7" t="s">
        <v>199</v>
      </c>
      <c r="AN1" s="7" t="s">
        <v>200</v>
      </c>
      <c r="AO1" s="7" t="s">
        <v>201</v>
      </c>
      <c r="AP1" s="25" t="s">
        <v>202</v>
      </c>
      <c r="AQ1" s="7" t="s">
        <v>203</v>
      </c>
      <c r="AR1" s="25" t="s">
        <v>204</v>
      </c>
      <c r="AS1" s="7" t="s">
        <v>205</v>
      </c>
      <c r="AT1" s="7" t="s">
        <v>206</v>
      </c>
      <c r="AU1" s="7" t="s">
        <v>207</v>
      </c>
    </row>
    <row r="2" spans="1:47" s="7" customFormat="1" ht="28.5" x14ac:dyDescent="0.2">
      <c r="A2" s="7" t="s">
        <v>7</v>
      </c>
      <c r="B2" s="10" t="s">
        <v>8</v>
      </c>
      <c r="C2" s="10" t="s">
        <v>9</v>
      </c>
      <c r="D2" s="10" t="s">
        <v>10</v>
      </c>
      <c r="F2" s="10" t="s">
        <v>208</v>
      </c>
      <c r="G2" s="10" t="s">
        <v>209</v>
      </c>
      <c r="H2" s="10" t="s">
        <v>210</v>
      </c>
      <c r="I2" s="10" t="s">
        <v>211</v>
      </c>
      <c r="J2" s="10" t="s">
        <v>212</v>
      </c>
      <c r="K2" s="10" t="s">
        <v>213</v>
      </c>
      <c r="L2" s="10" t="s">
        <v>214</v>
      </c>
      <c r="M2" s="7" t="s">
        <v>215</v>
      </c>
      <c r="N2" s="10" t="s">
        <v>216</v>
      </c>
      <c r="O2" s="10" t="s">
        <v>217</v>
      </c>
      <c r="P2" s="14" t="s">
        <v>218</v>
      </c>
      <c r="Q2" s="14" t="s">
        <v>219</v>
      </c>
      <c r="R2" s="14" t="s">
        <v>220</v>
      </c>
      <c r="S2" s="14" t="s">
        <v>221</v>
      </c>
      <c r="T2" s="24" t="s">
        <v>222</v>
      </c>
      <c r="U2" s="24" t="s">
        <v>223</v>
      </c>
      <c r="V2" s="11" t="s">
        <v>224</v>
      </c>
      <c r="W2" s="11" t="s">
        <v>11</v>
      </c>
      <c r="X2" s="11" t="s">
        <v>12</v>
      </c>
      <c r="Y2" s="11" t="s">
        <v>13</v>
      </c>
      <c r="Z2" s="11" t="s">
        <v>225</v>
      </c>
      <c r="AA2" s="11" t="s">
        <v>226</v>
      </c>
      <c r="AB2" s="11" t="s">
        <v>227</v>
      </c>
      <c r="AC2" s="11" t="s">
        <v>228</v>
      </c>
      <c r="AD2" s="11" t="s">
        <v>229</v>
      </c>
      <c r="AE2" s="11" t="s">
        <v>230</v>
      </c>
      <c r="AF2" s="11" t="s">
        <v>231</v>
      </c>
      <c r="AG2" s="11" t="s">
        <v>232</v>
      </c>
      <c r="AH2" s="27" t="s">
        <v>233</v>
      </c>
      <c r="AI2" s="27" t="s">
        <v>234</v>
      </c>
      <c r="AJ2" s="27" t="s">
        <v>235</v>
      </c>
      <c r="AK2" s="27" t="s">
        <v>236</v>
      </c>
      <c r="AL2" s="27" t="s">
        <v>237</v>
      </c>
      <c r="AM2" s="27" t="s">
        <v>238</v>
      </c>
      <c r="AN2" s="27" t="s">
        <v>239</v>
      </c>
      <c r="AO2" s="27" t="s">
        <v>240</v>
      </c>
      <c r="AP2" s="29" t="s">
        <v>241</v>
      </c>
      <c r="AQ2" s="30" t="s">
        <v>242</v>
      </c>
      <c r="AR2" s="29" t="s">
        <v>243</v>
      </c>
      <c r="AS2" s="29" t="s">
        <v>244</v>
      </c>
      <c r="AT2" s="7" t="s">
        <v>245</v>
      </c>
      <c r="AU2" s="7" t="s">
        <v>246</v>
      </c>
    </row>
    <row r="3" spans="1:47" s="7" customFormat="1" ht="228" x14ac:dyDescent="0.2">
      <c r="A3" s="7" t="s">
        <v>14</v>
      </c>
      <c r="B3" s="7" t="s">
        <v>15</v>
      </c>
      <c r="C3" s="7" t="s">
        <v>16</v>
      </c>
      <c r="D3" s="7" t="s">
        <v>17</v>
      </c>
      <c r="G3" s="7" t="s">
        <v>247</v>
      </c>
      <c r="I3" s="15" t="s">
        <v>248</v>
      </c>
      <c r="P3" s="7" t="s">
        <v>249</v>
      </c>
      <c r="Q3" s="7" t="s">
        <v>250</v>
      </c>
      <c r="R3" s="7" t="s">
        <v>251</v>
      </c>
      <c r="S3" s="7" t="s">
        <v>252</v>
      </c>
      <c r="T3" s="25" t="s">
        <v>253</v>
      </c>
      <c r="U3" s="25" t="s">
        <v>254</v>
      </c>
      <c r="V3" s="7" t="s">
        <v>255</v>
      </c>
      <c r="W3" s="7" t="s">
        <v>18</v>
      </c>
      <c r="X3" s="7" t="s">
        <v>18</v>
      </c>
      <c r="Y3" s="7" t="s">
        <v>18</v>
      </c>
      <c r="Z3" s="7" t="s">
        <v>18</v>
      </c>
      <c r="AA3" s="7" t="s">
        <v>18</v>
      </c>
      <c r="AB3" s="15" t="s">
        <v>558</v>
      </c>
      <c r="AC3" s="7" t="s">
        <v>256</v>
      </c>
      <c r="AD3" s="7" t="s">
        <v>257</v>
      </c>
      <c r="AE3" s="7" t="s">
        <v>258</v>
      </c>
      <c r="AF3" s="7" t="s">
        <v>259</v>
      </c>
      <c r="AH3" s="7" t="s">
        <v>260</v>
      </c>
      <c r="AI3" s="7" t="s">
        <v>261</v>
      </c>
      <c r="AJ3" s="7" t="s">
        <v>262</v>
      </c>
      <c r="AK3" s="7" t="s">
        <v>263</v>
      </c>
      <c r="AO3" s="7" t="s">
        <v>264</v>
      </c>
      <c r="AP3" s="25" t="s">
        <v>265</v>
      </c>
      <c r="AQ3" s="7" t="s">
        <v>266</v>
      </c>
      <c r="AR3" s="25" t="s">
        <v>267</v>
      </c>
    </row>
    <row r="4" spans="1:47" s="7" customFormat="1" x14ac:dyDescent="0.2">
      <c r="A4" s="7" t="s">
        <v>19</v>
      </c>
      <c r="B4" s="7" t="s">
        <v>20</v>
      </c>
      <c r="C4" s="7" t="s">
        <v>21</v>
      </c>
      <c r="D4" s="7" t="s">
        <v>21</v>
      </c>
      <c r="F4" s="7" t="s">
        <v>21</v>
      </c>
      <c r="G4" s="7" t="s">
        <v>20</v>
      </c>
      <c r="H4" s="7" t="s">
        <v>20</v>
      </c>
      <c r="I4" s="7" t="s">
        <v>20</v>
      </c>
      <c r="J4" s="7" t="s">
        <v>21</v>
      </c>
      <c r="K4" s="7" t="s">
        <v>21</v>
      </c>
      <c r="L4" s="7" t="s">
        <v>21</v>
      </c>
      <c r="M4" s="7" t="s">
        <v>21</v>
      </c>
      <c r="N4" s="7" t="s">
        <v>21</v>
      </c>
      <c r="O4" s="7" t="s">
        <v>21</v>
      </c>
      <c r="P4" s="7" t="s">
        <v>20</v>
      </c>
      <c r="Q4" s="7" t="s">
        <v>268</v>
      </c>
      <c r="R4" s="7" t="s">
        <v>20</v>
      </c>
      <c r="S4" s="7" t="s">
        <v>268</v>
      </c>
      <c r="T4" s="25" t="s">
        <v>20</v>
      </c>
      <c r="U4" s="25" t="s">
        <v>20</v>
      </c>
      <c r="V4" s="7" t="s">
        <v>20</v>
      </c>
      <c r="W4" s="7" t="s">
        <v>22</v>
      </c>
      <c r="X4" s="7" t="s">
        <v>22</v>
      </c>
      <c r="Y4" s="7" t="s">
        <v>22</v>
      </c>
      <c r="Z4" s="7" t="s">
        <v>22</v>
      </c>
      <c r="AA4" s="7" t="s">
        <v>22</v>
      </c>
      <c r="AB4" s="7" t="s">
        <v>20</v>
      </c>
      <c r="AC4" s="7" t="s">
        <v>22</v>
      </c>
      <c r="AD4" s="7" t="s">
        <v>22</v>
      </c>
      <c r="AE4" s="7" t="s">
        <v>20</v>
      </c>
      <c r="AF4" s="7" t="s">
        <v>20</v>
      </c>
      <c r="AG4" s="7" t="s">
        <v>22</v>
      </c>
      <c r="AH4" s="7" t="s">
        <v>268</v>
      </c>
      <c r="AI4" s="7" t="s">
        <v>20</v>
      </c>
      <c r="AJ4" s="7" t="s">
        <v>20</v>
      </c>
      <c r="AK4" s="7" t="s">
        <v>268</v>
      </c>
      <c r="AL4" s="7" t="s">
        <v>268</v>
      </c>
      <c r="AM4" s="7" t="s">
        <v>269</v>
      </c>
      <c r="AN4" s="7" t="s">
        <v>269</v>
      </c>
      <c r="AO4" s="7" t="s">
        <v>268</v>
      </c>
      <c r="AP4" s="25" t="s">
        <v>20</v>
      </c>
      <c r="AQ4" s="7" t="s">
        <v>20</v>
      </c>
      <c r="AR4" s="25" t="s">
        <v>20</v>
      </c>
      <c r="AS4" s="7" t="s">
        <v>270</v>
      </c>
      <c r="AT4" s="7" t="s">
        <v>269</v>
      </c>
      <c r="AU4" s="7" t="s">
        <v>269</v>
      </c>
    </row>
    <row r="5" spans="1:47" s="7" customFormat="1" x14ac:dyDescent="0.2">
      <c r="A5" s="7" t="s">
        <v>23</v>
      </c>
      <c r="K5" s="16"/>
      <c r="L5" s="16"/>
      <c r="M5" s="16"/>
      <c r="T5" s="25"/>
      <c r="U5" s="25"/>
      <c r="AP5" s="25"/>
      <c r="AR5" s="25"/>
    </row>
    <row r="6" spans="1:47" s="6" customFormat="1" x14ac:dyDescent="0.2">
      <c r="B6" s="6" t="s">
        <v>24</v>
      </c>
      <c r="C6" s="6" t="s">
        <v>25</v>
      </c>
      <c r="D6" s="6" t="s">
        <v>25</v>
      </c>
      <c r="E6" s="6" t="s">
        <v>271</v>
      </c>
      <c r="H6" s="6" t="s">
        <v>27</v>
      </c>
      <c r="I6" s="6" t="s">
        <v>149</v>
      </c>
      <c r="J6" s="17"/>
      <c r="K6" s="18"/>
      <c r="L6" s="18"/>
      <c r="M6" s="19"/>
      <c r="N6" s="20"/>
      <c r="T6" s="6" t="str">
        <f t="shared" ref="T6:T11" si="0">B6</f>
        <v>1001</v>
      </c>
      <c r="U6" s="6" t="s">
        <v>27</v>
      </c>
      <c r="V6" s="6" t="s">
        <v>27</v>
      </c>
      <c r="W6" s="6" t="s">
        <v>26</v>
      </c>
      <c r="X6" s="6" t="s">
        <v>27</v>
      </c>
      <c r="Y6" s="6" t="s">
        <v>28</v>
      </c>
      <c r="Z6" s="6">
        <v>1</v>
      </c>
      <c r="AA6" s="6">
        <v>1</v>
      </c>
      <c r="AB6" s="6" t="s">
        <v>272</v>
      </c>
      <c r="AC6" s="6" t="s">
        <v>273</v>
      </c>
      <c r="AD6" s="6" t="s">
        <v>27</v>
      </c>
      <c r="AE6" s="6" t="s">
        <v>166</v>
      </c>
      <c r="AG6" s="6" t="s">
        <v>272</v>
      </c>
      <c r="AH6" s="6" t="s">
        <v>274</v>
      </c>
      <c r="AI6" s="28"/>
      <c r="AJ6" s="6" t="s">
        <v>27</v>
      </c>
      <c r="AK6" s="6" t="s">
        <v>275</v>
      </c>
      <c r="AM6" s="6" t="s">
        <v>276</v>
      </c>
      <c r="AO6" s="6" t="s">
        <v>167</v>
      </c>
      <c r="AP6" s="6" t="str">
        <f>B6</f>
        <v>1001</v>
      </c>
      <c r="AT6" s="3"/>
    </row>
    <row r="7" spans="1:47" s="6" customFormat="1" x14ac:dyDescent="0.2">
      <c r="B7" s="6" t="s">
        <v>29</v>
      </c>
      <c r="C7" s="6" t="s">
        <v>30</v>
      </c>
      <c r="D7" s="6" t="s">
        <v>30</v>
      </c>
      <c r="E7" s="6" t="s">
        <v>271</v>
      </c>
      <c r="H7" s="6" t="s">
        <v>27</v>
      </c>
      <c r="I7" s="6" t="s">
        <v>149</v>
      </c>
      <c r="J7" s="17"/>
      <c r="K7" s="18"/>
      <c r="L7" s="18"/>
      <c r="M7" s="19"/>
      <c r="N7" s="20"/>
      <c r="T7" s="6" t="str">
        <f t="shared" si="0"/>
        <v>1002</v>
      </c>
      <c r="U7" s="6" t="s">
        <v>27</v>
      </c>
      <c r="V7" s="6" t="s">
        <v>27</v>
      </c>
      <c r="W7" s="6" t="s">
        <v>26</v>
      </c>
      <c r="X7" s="6" t="s">
        <v>27</v>
      </c>
      <c r="Y7" s="6" t="s">
        <v>28</v>
      </c>
      <c r="Z7" s="6">
        <v>1</v>
      </c>
      <c r="AA7" s="6">
        <v>1</v>
      </c>
      <c r="AB7" s="6" t="s">
        <v>149</v>
      </c>
      <c r="AC7" s="6" t="s">
        <v>273</v>
      </c>
      <c r="AD7" s="6" t="s">
        <v>27</v>
      </c>
      <c r="AE7" s="6" t="s">
        <v>277</v>
      </c>
      <c r="AG7" s="6" t="s">
        <v>272</v>
      </c>
      <c r="AH7" s="6" t="s">
        <v>274</v>
      </c>
      <c r="AI7" s="28"/>
      <c r="AJ7" s="6" t="s">
        <v>27</v>
      </c>
      <c r="AK7" s="6" t="s">
        <v>275</v>
      </c>
      <c r="AM7" s="6" t="s">
        <v>276</v>
      </c>
      <c r="AO7" s="6" t="s">
        <v>167</v>
      </c>
      <c r="AP7" s="6" t="str">
        <f>B7</f>
        <v>1002</v>
      </c>
    </row>
    <row r="8" spans="1:47" s="6" customFormat="1" x14ac:dyDescent="0.2">
      <c r="B8" s="6" t="s">
        <v>31</v>
      </c>
      <c r="C8" s="6" t="s">
        <v>25</v>
      </c>
      <c r="D8" s="6" t="s">
        <v>25</v>
      </c>
      <c r="E8" s="6" t="s">
        <v>271</v>
      </c>
      <c r="H8" s="6" t="s">
        <v>27</v>
      </c>
      <c r="I8" s="6" t="s">
        <v>149</v>
      </c>
      <c r="J8" s="17"/>
      <c r="K8" s="18"/>
      <c r="L8" s="18"/>
      <c r="M8" s="19"/>
      <c r="N8" s="20"/>
      <c r="T8" s="6" t="str">
        <f t="shared" si="0"/>
        <v>1003</v>
      </c>
      <c r="U8" s="6" t="s">
        <v>27</v>
      </c>
      <c r="V8" s="6" t="s">
        <v>27</v>
      </c>
      <c r="W8" s="6" t="s">
        <v>26</v>
      </c>
      <c r="X8" s="6" t="s">
        <v>27</v>
      </c>
      <c r="Y8" s="6" t="s">
        <v>28</v>
      </c>
      <c r="Z8" s="6">
        <v>1</v>
      </c>
      <c r="AA8" s="6">
        <v>1</v>
      </c>
      <c r="AB8" s="6" t="s">
        <v>272</v>
      </c>
      <c r="AC8" s="6" t="s">
        <v>273</v>
      </c>
      <c r="AD8" s="6" t="s">
        <v>27</v>
      </c>
      <c r="AE8" s="6" t="s">
        <v>166</v>
      </c>
      <c r="AG8" s="6" t="s">
        <v>272</v>
      </c>
      <c r="AH8" s="28">
        <v>1002</v>
      </c>
      <c r="AI8" s="28"/>
      <c r="AJ8" s="6" t="s">
        <v>27</v>
      </c>
      <c r="AK8" s="6" t="s">
        <v>275</v>
      </c>
      <c r="AM8" s="6" t="s">
        <v>276</v>
      </c>
      <c r="AO8" s="6" t="s">
        <v>167</v>
      </c>
      <c r="AP8" s="6" t="str">
        <f>B8</f>
        <v>1003</v>
      </c>
    </row>
    <row r="9" spans="1:47" s="6" customFormat="1" x14ac:dyDescent="0.2">
      <c r="B9" s="6" t="s">
        <v>32</v>
      </c>
      <c r="C9" s="6" t="s">
        <v>30</v>
      </c>
      <c r="D9" s="6" t="s">
        <v>30</v>
      </c>
      <c r="E9" s="6" t="s">
        <v>271</v>
      </c>
      <c r="H9" s="6" t="s">
        <v>27</v>
      </c>
      <c r="I9" s="6" t="s">
        <v>149</v>
      </c>
      <c r="J9" s="17"/>
      <c r="K9" s="18"/>
      <c r="L9" s="18"/>
      <c r="M9" s="19"/>
      <c r="N9" s="20"/>
      <c r="T9" s="6" t="str">
        <f t="shared" si="0"/>
        <v>1004</v>
      </c>
      <c r="U9" s="6" t="s">
        <v>27</v>
      </c>
      <c r="V9" s="6" t="s">
        <v>27</v>
      </c>
      <c r="W9" s="6" t="s">
        <v>26</v>
      </c>
      <c r="X9" s="6" t="s">
        <v>27</v>
      </c>
      <c r="Y9" s="6" t="s">
        <v>28</v>
      </c>
      <c r="Z9" s="6">
        <v>1</v>
      </c>
      <c r="AA9" s="6">
        <v>1</v>
      </c>
      <c r="AB9" s="6" t="s">
        <v>149</v>
      </c>
      <c r="AC9" s="6" t="s">
        <v>273</v>
      </c>
      <c r="AD9" s="6" t="s">
        <v>27</v>
      </c>
      <c r="AE9" s="6" t="s">
        <v>277</v>
      </c>
      <c r="AG9" s="6" t="s">
        <v>272</v>
      </c>
      <c r="AH9" s="28">
        <v>1002</v>
      </c>
      <c r="AI9" s="28"/>
      <c r="AJ9" s="6" t="s">
        <v>27</v>
      </c>
      <c r="AK9" s="6" t="s">
        <v>275</v>
      </c>
      <c r="AM9" s="6" t="s">
        <v>276</v>
      </c>
      <c r="AO9" s="6" t="s">
        <v>167</v>
      </c>
      <c r="AP9" s="6" t="str">
        <f>B9</f>
        <v>1004</v>
      </c>
    </row>
    <row r="10" spans="1:47" s="6" customFormat="1" x14ac:dyDescent="0.2">
      <c r="B10" s="6" t="s">
        <v>554</v>
      </c>
      <c r="C10" s="6" t="s">
        <v>555</v>
      </c>
      <c r="D10" s="6" t="s">
        <v>555</v>
      </c>
      <c r="E10" s="6" t="s">
        <v>271</v>
      </c>
      <c r="H10" s="6" t="s">
        <v>27</v>
      </c>
      <c r="I10" s="6" t="s">
        <v>149</v>
      </c>
      <c r="J10" s="17"/>
      <c r="K10" s="18"/>
      <c r="L10" s="18"/>
      <c r="M10" s="19"/>
      <c r="N10" s="20"/>
      <c r="T10" s="6" t="str">
        <f t="shared" si="0"/>
        <v>1011</v>
      </c>
      <c r="U10" s="6" t="s">
        <v>27</v>
      </c>
      <c r="V10" s="6" t="s">
        <v>27</v>
      </c>
      <c r="W10" s="6" t="s">
        <v>556</v>
      </c>
      <c r="X10" s="6" t="s">
        <v>27</v>
      </c>
      <c r="Y10" s="6" t="s">
        <v>557</v>
      </c>
      <c r="Z10" s="6">
        <v>1</v>
      </c>
      <c r="AA10" s="6">
        <v>1</v>
      </c>
      <c r="AB10" s="6" t="s">
        <v>149</v>
      </c>
      <c r="AC10" s="6" t="s">
        <v>273</v>
      </c>
      <c r="AD10" s="6" t="s">
        <v>27</v>
      </c>
      <c r="AE10" s="6" t="s">
        <v>277</v>
      </c>
      <c r="AG10" s="6" t="s">
        <v>272</v>
      </c>
      <c r="AH10" s="6" t="s">
        <v>559</v>
      </c>
      <c r="AI10" s="28"/>
      <c r="AJ10" s="6" t="s">
        <v>27</v>
      </c>
      <c r="AM10" s="6" t="s">
        <v>276</v>
      </c>
      <c r="AO10" s="6" t="s">
        <v>560</v>
      </c>
    </row>
    <row r="11" spans="1:47" s="6" customFormat="1" ht="28.5" x14ac:dyDescent="0.2">
      <c r="B11" s="6" t="s">
        <v>33</v>
      </c>
      <c r="C11" s="6" t="s">
        <v>34</v>
      </c>
      <c r="D11" s="6" t="s">
        <v>34</v>
      </c>
      <c r="E11" s="6" t="s">
        <v>271</v>
      </c>
      <c r="G11" s="6" t="s">
        <v>27</v>
      </c>
      <c r="H11" s="6" t="s">
        <v>27</v>
      </c>
      <c r="I11" s="6" t="s">
        <v>149</v>
      </c>
      <c r="J11" s="17"/>
      <c r="K11" s="18"/>
      <c r="L11" s="18"/>
      <c r="M11" s="19"/>
      <c r="N11" s="20"/>
      <c r="T11" s="6" t="str">
        <f t="shared" si="0"/>
        <v>1050</v>
      </c>
      <c r="U11" s="6" t="s">
        <v>27</v>
      </c>
      <c r="V11" s="6" t="s">
        <v>27</v>
      </c>
      <c r="W11" s="6" t="s">
        <v>26</v>
      </c>
      <c r="X11" s="6" t="s">
        <v>27</v>
      </c>
      <c r="Y11" s="6" t="s">
        <v>28</v>
      </c>
      <c r="Z11" s="6">
        <v>1</v>
      </c>
      <c r="AA11" s="6">
        <v>1</v>
      </c>
      <c r="AB11" s="6" t="s">
        <v>149</v>
      </c>
      <c r="AC11" s="6" t="s">
        <v>273</v>
      </c>
      <c r="AD11" s="6" t="s">
        <v>27</v>
      </c>
      <c r="AE11" s="6" t="s">
        <v>277</v>
      </c>
      <c r="AG11" s="6" t="s">
        <v>272</v>
      </c>
      <c r="AH11" s="36" t="s">
        <v>33</v>
      </c>
      <c r="AI11" s="28"/>
      <c r="AJ11" s="6" t="s">
        <v>27</v>
      </c>
      <c r="AK11" s="6" t="s">
        <v>275</v>
      </c>
      <c r="AM11" s="6" t="s">
        <v>276</v>
      </c>
      <c r="AO11" s="6" t="s">
        <v>556</v>
      </c>
    </row>
    <row r="12" spans="1:47" s="6" customFormat="1" ht="57" x14ac:dyDescent="0.2">
      <c r="B12" s="6">
        <v>2001</v>
      </c>
      <c r="C12" s="6" t="s">
        <v>35</v>
      </c>
      <c r="D12" s="6" t="s">
        <v>36</v>
      </c>
      <c r="E12" s="6" t="s">
        <v>271</v>
      </c>
      <c r="H12" s="6" t="s">
        <v>27</v>
      </c>
      <c r="I12" s="6" t="s">
        <v>149</v>
      </c>
      <c r="J12" s="17" t="s">
        <v>278</v>
      </c>
      <c r="K12" s="18" t="s">
        <v>279</v>
      </c>
      <c r="L12" s="21" t="s">
        <v>280</v>
      </c>
      <c r="M12" s="22" t="s">
        <v>281</v>
      </c>
      <c r="N12" s="20" t="s">
        <v>282</v>
      </c>
      <c r="O12" s="6" t="s">
        <v>283</v>
      </c>
      <c r="P12" s="6" t="s">
        <v>167</v>
      </c>
      <c r="Q12" s="6" t="s">
        <v>145</v>
      </c>
      <c r="R12" s="6" t="s">
        <v>284</v>
      </c>
      <c r="S12" s="6" t="s">
        <v>285</v>
      </c>
      <c r="T12" s="6">
        <v>2001</v>
      </c>
      <c r="U12" s="6" t="s">
        <v>27</v>
      </c>
      <c r="V12" s="6" t="s">
        <v>27</v>
      </c>
      <c r="W12" s="6" t="s">
        <v>286</v>
      </c>
      <c r="X12" s="6" t="s">
        <v>27</v>
      </c>
      <c r="Y12" s="6" t="s">
        <v>38</v>
      </c>
      <c r="Z12" s="6">
        <v>1</v>
      </c>
      <c r="AA12" s="6">
        <v>1</v>
      </c>
      <c r="AB12" s="6" t="s">
        <v>149</v>
      </c>
      <c r="AC12" s="6" t="s">
        <v>273</v>
      </c>
      <c r="AD12" s="6" t="s">
        <v>27</v>
      </c>
      <c r="AE12" s="6" t="s">
        <v>277</v>
      </c>
      <c r="AG12" s="6" t="s">
        <v>272</v>
      </c>
      <c r="AH12" s="6" t="s">
        <v>287</v>
      </c>
      <c r="AI12" s="6" t="s">
        <v>288</v>
      </c>
      <c r="AJ12" s="6" t="s">
        <v>289</v>
      </c>
      <c r="AK12" s="6" t="s">
        <v>275</v>
      </c>
      <c r="AM12" s="6" t="s">
        <v>290</v>
      </c>
      <c r="AN12" s="6" t="s">
        <v>291</v>
      </c>
      <c r="AO12" s="6" t="s">
        <v>292</v>
      </c>
      <c r="AP12" s="6">
        <v>2001</v>
      </c>
      <c r="AR12" s="6">
        <v>2001</v>
      </c>
      <c r="AS12" s="6" t="s">
        <v>293</v>
      </c>
      <c r="AT12" s="3" t="s">
        <v>294</v>
      </c>
      <c r="AU12" s="6" t="s">
        <v>295</v>
      </c>
    </row>
    <row r="13" spans="1:47" s="6" customFormat="1" ht="85.5" x14ac:dyDescent="0.2">
      <c r="B13" s="6" t="s">
        <v>39</v>
      </c>
      <c r="C13" s="6" t="s">
        <v>16</v>
      </c>
      <c r="D13" s="6" t="s">
        <v>17</v>
      </c>
      <c r="E13" s="6" t="s">
        <v>271</v>
      </c>
      <c r="F13" s="6" t="s">
        <v>296</v>
      </c>
      <c r="H13" s="6" t="s">
        <v>165</v>
      </c>
      <c r="I13" s="6" t="s">
        <v>149</v>
      </c>
      <c r="J13" s="17" t="s">
        <v>297</v>
      </c>
      <c r="K13" s="18" t="s">
        <v>298</v>
      </c>
      <c r="L13" s="21" t="s">
        <v>299</v>
      </c>
      <c r="M13" s="22" t="s">
        <v>300</v>
      </c>
      <c r="N13" s="20" t="s">
        <v>301</v>
      </c>
      <c r="O13" s="6" t="s">
        <v>302</v>
      </c>
      <c r="P13" s="6" t="s">
        <v>27</v>
      </c>
      <c r="Q13" s="6" t="s">
        <v>27</v>
      </c>
      <c r="R13" s="26">
        <v>62004</v>
      </c>
      <c r="S13" s="6" t="s">
        <v>303</v>
      </c>
      <c r="T13" s="6" t="str">
        <f t="shared" ref="T13:T41" si="1">B13</f>
        <v>2004</v>
      </c>
      <c r="U13" s="6" t="s">
        <v>27</v>
      </c>
      <c r="V13" s="6" t="s">
        <v>27</v>
      </c>
      <c r="W13" s="6">
        <v>0.96</v>
      </c>
      <c r="X13" s="6">
        <v>1.05</v>
      </c>
      <c r="Y13" s="6">
        <v>0.99</v>
      </c>
      <c r="Z13" s="6">
        <v>1</v>
      </c>
      <c r="AA13" s="6">
        <v>1</v>
      </c>
      <c r="AB13" s="6" t="s">
        <v>149</v>
      </c>
      <c r="AC13" s="6" t="s">
        <v>273</v>
      </c>
      <c r="AD13" s="6" t="s">
        <v>27</v>
      </c>
      <c r="AE13" s="6" t="s">
        <v>277</v>
      </c>
      <c r="AG13" s="6" t="s">
        <v>272</v>
      </c>
      <c r="AH13" s="28" t="str">
        <f t="shared" ref="AH13:AH33" si="2">B13&amp;","&amp;B13*100+1&amp;","&amp;B13*100+"2"</f>
        <v>2004,200401,200402</v>
      </c>
      <c r="AI13" s="6" t="s">
        <v>304</v>
      </c>
      <c r="AJ13" s="6" t="s">
        <v>39</v>
      </c>
      <c r="AK13" s="6" t="s">
        <v>275</v>
      </c>
      <c r="AM13" s="6" t="s">
        <v>290</v>
      </c>
      <c r="AN13" s="6" t="s">
        <v>291</v>
      </c>
      <c r="AO13" s="6" t="s">
        <v>305</v>
      </c>
      <c r="AP13" s="6" t="str">
        <f t="shared" ref="AP13:AP35" si="3">B13</f>
        <v>2004</v>
      </c>
      <c r="AR13" s="6" t="str">
        <f t="shared" ref="AR13:AR41" si="4">B13</f>
        <v>2004</v>
      </c>
      <c r="AS13" s="6" t="s">
        <v>306</v>
      </c>
      <c r="AT13" s="3" t="s">
        <v>307</v>
      </c>
      <c r="AU13" s="6" t="s">
        <v>308</v>
      </c>
    </row>
    <row r="14" spans="1:47" s="6" customFormat="1" ht="57" x14ac:dyDescent="0.2">
      <c r="B14" s="6">
        <v>2005</v>
      </c>
      <c r="C14" s="6" t="s">
        <v>41</v>
      </c>
      <c r="D14" s="6" t="s">
        <v>42</v>
      </c>
      <c r="E14" s="6" t="s">
        <v>271</v>
      </c>
      <c r="H14" s="6">
        <v>1</v>
      </c>
      <c r="I14" s="6" t="s">
        <v>149</v>
      </c>
      <c r="J14" s="17" t="s">
        <v>309</v>
      </c>
      <c r="K14" s="21" t="s">
        <v>310</v>
      </c>
      <c r="L14" s="21" t="s">
        <v>311</v>
      </c>
      <c r="M14" s="22" t="s">
        <v>312</v>
      </c>
      <c r="N14" s="20" t="s">
        <v>313</v>
      </c>
      <c r="O14" s="6" t="s">
        <v>314</v>
      </c>
      <c r="P14" s="6" t="s">
        <v>166</v>
      </c>
      <c r="Q14" s="6" t="s">
        <v>165</v>
      </c>
      <c r="R14" s="26">
        <v>62005</v>
      </c>
      <c r="S14" s="6" t="s">
        <v>303</v>
      </c>
      <c r="T14" s="6">
        <f t="shared" si="1"/>
        <v>2005</v>
      </c>
      <c r="U14" s="6" t="s">
        <v>27</v>
      </c>
      <c r="V14" s="6" t="s">
        <v>27</v>
      </c>
      <c r="W14" s="6">
        <v>1.08</v>
      </c>
      <c r="X14" s="6">
        <v>0.98</v>
      </c>
      <c r="Y14" s="6">
        <v>0.94</v>
      </c>
      <c r="Z14" s="6">
        <v>1</v>
      </c>
      <c r="AA14" s="6">
        <v>1</v>
      </c>
      <c r="AB14" s="6" t="s">
        <v>149</v>
      </c>
      <c r="AC14" s="6" t="s">
        <v>273</v>
      </c>
      <c r="AD14" s="6" t="s">
        <v>27</v>
      </c>
      <c r="AE14" s="6" t="s">
        <v>277</v>
      </c>
      <c r="AG14" s="6" t="s">
        <v>272</v>
      </c>
      <c r="AH14" s="28" t="str">
        <f t="shared" si="2"/>
        <v>2005,200501,200502</v>
      </c>
      <c r="AI14" s="6" t="s">
        <v>315</v>
      </c>
      <c r="AJ14" s="6" t="s">
        <v>316</v>
      </c>
      <c r="AK14" s="6" t="s">
        <v>275</v>
      </c>
      <c r="AM14" s="6" t="s">
        <v>290</v>
      </c>
      <c r="AN14" s="6" t="s">
        <v>291</v>
      </c>
      <c r="AO14" s="6" t="s">
        <v>317</v>
      </c>
      <c r="AP14" s="6">
        <f t="shared" si="3"/>
        <v>2005</v>
      </c>
      <c r="AR14" s="6">
        <f t="shared" si="4"/>
        <v>2005</v>
      </c>
      <c r="AS14" s="6" t="s">
        <v>318</v>
      </c>
      <c r="AT14" s="31" t="s">
        <v>319</v>
      </c>
      <c r="AU14" s="6" t="s">
        <v>320</v>
      </c>
    </row>
    <row r="15" spans="1:47" s="6" customFormat="1" ht="57" x14ac:dyDescent="0.2">
      <c r="B15" s="6">
        <v>2007</v>
      </c>
      <c r="C15" s="6" t="s">
        <v>44</v>
      </c>
      <c r="D15" s="6" t="s">
        <v>45</v>
      </c>
      <c r="E15" s="6" t="s">
        <v>271</v>
      </c>
      <c r="H15" s="6" t="s">
        <v>165</v>
      </c>
      <c r="I15" s="6" t="s">
        <v>149</v>
      </c>
      <c r="J15" s="17" t="s">
        <v>321</v>
      </c>
      <c r="K15" s="21" t="s">
        <v>322</v>
      </c>
      <c r="L15" s="21" t="s">
        <v>323</v>
      </c>
      <c r="M15" s="22" t="s">
        <v>324</v>
      </c>
      <c r="N15" s="20" t="s">
        <v>325</v>
      </c>
      <c r="O15" s="6" t="s">
        <v>326</v>
      </c>
      <c r="P15" s="6" t="s">
        <v>27</v>
      </c>
      <c r="Q15" s="6" t="s">
        <v>165</v>
      </c>
      <c r="R15" s="26">
        <v>62007</v>
      </c>
      <c r="S15" s="6" t="s">
        <v>303</v>
      </c>
      <c r="T15" s="6">
        <f t="shared" si="1"/>
        <v>2007</v>
      </c>
      <c r="U15" s="6" t="s">
        <v>27</v>
      </c>
      <c r="V15" s="6" t="s">
        <v>27</v>
      </c>
      <c r="W15" s="6">
        <v>1.05</v>
      </c>
      <c r="X15" s="6">
        <v>1.04</v>
      </c>
      <c r="Y15" s="6">
        <v>0.91</v>
      </c>
      <c r="Z15" s="6">
        <v>1</v>
      </c>
      <c r="AA15" s="6">
        <v>1</v>
      </c>
      <c r="AB15" s="6" t="s">
        <v>149</v>
      </c>
      <c r="AC15" s="6" t="s">
        <v>273</v>
      </c>
      <c r="AD15" s="6" t="s">
        <v>27</v>
      </c>
      <c r="AE15" s="6" t="s">
        <v>277</v>
      </c>
      <c r="AF15" s="6" t="s">
        <v>166</v>
      </c>
      <c r="AG15" s="6" t="s">
        <v>272</v>
      </c>
      <c r="AH15" s="28" t="str">
        <f t="shared" si="2"/>
        <v>2007,200701,200702</v>
      </c>
      <c r="AI15" s="6" t="s">
        <v>327</v>
      </c>
      <c r="AJ15" s="6" t="s">
        <v>328</v>
      </c>
      <c r="AK15" s="6" t="s">
        <v>275</v>
      </c>
      <c r="AM15" s="6" t="s">
        <v>290</v>
      </c>
      <c r="AN15" s="6" t="s">
        <v>291</v>
      </c>
      <c r="AO15" s="6" t="s">
        <v>329</v>
      </c>
      <c r="AP15" s="6">
        <f t="shared" si="3"/>
        <v>2007</v>
      </c>
      <c r="AR15" s="6">
        <f t="shared" si="4"/>
        <v>2007</v>
      </c>
      <c r="AS15" s="6" t="s">
        <v>330</v>
      </c>
      <c r="AT15" s="31" t="s">
        <v>331</v>
      </c>
      <c r="AU15" s="6" t="s">
        <v>332</v>
      </c>
    </row>
    <row r="16" spans="1:47" s="6" customFormat="1" ht="57" x14ac:dyDescent="0.2">
      <c r="B16" s="6">
        <v>2008</v>
      </c>
      <c r="C16" s="6" t="s">
        <v>47</v>
      </c>
      <c r="D16" s="6" t="s">
        <v>48</v>
      </c>
      <c r="E16" s="6" t="s">
        <v>271</v>
      </c>
      <c r="H16" s="6" t="s">
        <v>165</v>
      </c>
      <c r="I16" s="6" t="s">
        <v>149</v>
      </c>
      <c r="J16" s="17" t="s">
        <v>333</v>
      </c>
      <c r="K16" s="6" t="s">
        <v>334</v>
      </c>
      <c r="L16" s="6" t="s">
        <v>335</v>
      </c>
      <c r="M16" s="22" t="s">
        <v>336</v>
      </c>
      <c r="N16" s="20" t="s">
        <v>337</v>
      </c>
      <c r="O16" s="6" t="s">
        <v>338</v>
      </c>
      <c r="P16" s="6" t="s">
        <v>49</v>
      </c>
      <c r="Q16" s="6" t="s">
        <v>145</v>
      </c>
      <c r="R16" s="26">
        <v>62008</v>
      </c>
      <c r="S16" s="6" t="s">
        <v>303</v>
      </c>
      <c r="T16" s="6">
        <f t="shared" si="1"/>
        <v>2008</v>
      </c>
      <c r="U16" s="6" t="s">
        <v>27</v>
      </c>
      <c r="V16" s="6" t="s">
        <v>27</v>
      </c>
      <c r="W16" s="6">
        <v>1</v>
      </c>
      <c r="X16" s="6">
        <v>1</v>
      </c>
      <c r="Y16" s="6">
        <v>1</v>
      </c>
      <c r="Z16" s="6">
        <v>1</v>
      </c>
      <c r="AA16" s="6">
        <v>1</v>
      </c>
      <c r="AB16" s="6" t="s">
        <v>149</v>
      </c>
      <c r="AC16" s="6" t="s">
        <v>273</v>
      </c>
      <c r="AD16" s="6" t="s">
        <v>27</v>
      </c>
      <c r="AE16" s="6" t="s">
        <v>277</v>
      </c>
      <c r="AG16" s="6" t="s">
        <v>272</v>
      </c>
      <c r="AH16" s="28" t="str">
        <f t="shared" si="2"/>
        <v>2008,200801,200802</v>
      </c>
      <c r="AI16" s="6">
        <v>200800</v>
      </c>
      <c r="AJ16" s="6" t="s">
        <v>339</v>
      </c>
      <c r="AK16" s="6" t="s">
        <v>275</v>
      </c>
      <c r="AM16" s="6" t="s">
        <v>290</v>
      </c>
      <c r="AN16" s="6" t="s">
        <v>291</v>
      </c>
      <c r="AO16" s="6" t="s">
        <v>340</v>
      </c>
      <c r="AP16" s="6">
        <f t="shared" si="3"/>
        <v>2008</v>
      </c>
      <c r="AR16" s="6">
        <f t="shared" si="4"/>
        <v>2008</v>
      </c>
      <c r="AS16" s="6" t="s">
        <v>341</v>
      </c>
      <c r="AT16" s="31" t="s">
        <v>342</v>
      </c>
      <c r="AU16" s="6" t="s">
        <v>343</v>
      </c>
    </row>
    <row r="17" spans="2:47" s="6" customFormat="1" x14ac:dyDescent="0.2">
      <c r="B17" s="6">
        <v>2010</v>
      </c>
      <c r="D17" s="6" t="s">
        <v>50</v>
      </c>
      <c r="E17" s="6" t="s">
        <v>271</v>
      </c>
      <c r="G17" s="6" t="s">
        <v>27</v>
      </c>
      <c r="H17" s="6">
        <v>1</v>
      </c>
      <c r="I17" s="6" t="s">
        <v>149</v>
      </c>
      <c r="J17" s="17"/>
      <c r="M17" s="22" t="s">
        <v>344</v>
      </c>
      <c r="N17" s="20" t="s">
        <v>345</v>
      </c>
      <c r="O17" s="6" t="s">
        <v>346</v>
      </c>
      <c r="T17" s="6">
        <f t="shared" si="1"/>
        <v>2010</v>
      </c>
      <c r="U17" s="6" t="s">
        <v>27</v>
      </c>
      <c r="V17" s="6" t="s">
        <v>27</v>
      </c>
      <c r="W17" s="6">
        <v>1</v>
      </c>
      <c r="X17" s="6">
        <v>1</v>
      </c>
      <c r="Y17" s="6">
        <v>1</v>
      </c>
      <c r="Z17" s="6">
        <v>1</v>
      </c>
      <c r="AA17" s="6">
        <v>1</v>
      </c>
      <c r="AB17" s="6" t="s">
        <v>149</v>
      </c>
      <c r="AC17" s="6" t="s">
        <v>273</v>
      </c>
      <c r="AD17" s="6" t="s">
        <v>27</v>
      </c>
      <c r="AE17" s="6" t="s">
        <v>277</v>
      </c>
      <c r="AG17" s="6" t="s">
        <v>272</v>
      </c>
      <c r="AH17" s="28" t="str">
        <f t="shared" si="2"/>
        <v>2010,201001,201002</v>
      </c>
      <c r="AI17" s="6">
        <v>201000</v>
      </c>
      <c r="AJ17" s="6" t="s">
        <v>27</v>
      </c>
      <c r="AK17" s="6" t="s">
        <v>275</v>
      </c>
      <c r="AM17" s="6" t="s">
        <v>290</v>
      </c>
      <c r="AN17" s="6" t="s">
        <v>291</v>
      </c>
      <c r="AP17" s="6">
        <f t="shared" si="3"/>
        <v>2010</v>
      </c>
      <c r="AR17" s="6">
        <f t="shared" si="4"/>
        <v>2010</v>
      </c>
      <c r="AT17" s="31"/>
    </row>
    <row r="18" spans="2:47" s="6" customFormat="1" ht="57" x14ac:dyDescent="0.2">
      <c r="B18" s="6">
        <v>2011</v>
      </c>
      <c r="C18" s="6" t="s">
        <v>51</v>
      </c>
      <c r="D18" s="6" t="s">
        <v>52</v>
      </c>
      <c r="E18" s="6" t="s">
        <v>271</v>
      </c>
      <c r="H18" s="6" t="s">
        <v>166</v>
      </c>
      <c r="I18" s="6" t="s">
        <v>149</v>
      </c>
      <c r="J18" s="17" t="s">
        <v>347</v>
      </c>
      <c r="K18" s="21" t="s">
        <v>348</v>
      </c>
      <c r="L18" s="21" t="s">
        <v>349</v>
      </c>
      <c r="M18" s="22" t="s">
        <v>350</v>
      </c>
      <c r="N18" s="20" t="s">
        <v>351</v>
      </c>
      <c r="O18" s="6" t="s">
        <v>352</v>
      </c>
      <c r="P18" s="6" t="s">
        <v>166</v>
      </c>
      <c r="Q18" s="6" t="s">
        <v>165</v>
      </c>
      <c r="R18" s="26">
        <v>62011</v>
      </c>
      <c r="S18" s="6" t="s">
        <v>303</v>
      </c>
      <c r="T18" s="6">
        <f t="shared" si="1"/>
        <v>2011</v>
      </c>
      <c r="U18" s="6" t="s">
        <v>27</v>
      </c>
      <c r="V18" s="6" t="s">
        <v>27</v>
      </c>
      <c r="W18" s="6">
        <v>1</v>
      </c>
      <c r="X18" s="6">
        <v>1.05</v>
      </c>
      <c r="Y18" s="6">
        <v>0.9</v>
      </c>
      <c r="Z18" s="6">
        <v>2</v>
      </c>
      <c r="AA18" s="6">
        <v>1</v>
      </c>
      <c r="AB18" s="6" t="s">
        <v>149</v>
      </c>
      <c r="AC18" s="6" t="s">
        <v>273</v>
      </c>
      <c r="AD18" s="6" t="s">
        <v>27</v>
      </c>
      <c r="AE18" s="6" t="s">
        <v>277</v>
      </c>
      <c r="AG18" s="6" t="s">
        <v>272</v>
      </c>
      <c r="AH18" s="28" t="str">
        <f t="shared" si="2"/>
        <v>2011,201101,201102</v>
      </c>
      <c r="AI18" s="6">
        <v>201100</v>
      </c>
      <c r="AJ18" s="6" t="s">
        <v>353</v>
      </c>
      <c r="AK18" s="6" t="s">
        <v>275</v>
      </c>
      <c r="AM18" s="6" t="s">
        <v>290</v>
      </c>
      <c r="AN18" s="6" t="s">
        <v>291</v>
      </c>
      <c r="AO18" s="6" t="s">
        <v>354</v>
      </c>
      <c r="AP18" s="6">
        <f t="shared" si="3"/>
        <v>2011</v>
      </c>
      <c r="AR18" s="6">
        <f t="shared" si="4"/>
        <v>2011</v>
      </c>
      <c r="AS18" s="6" t="s">
        <v>355</v>
      </c>
      <c r="AT18" s="31" t="s">
        <v>356</v>
      </c>
      <c r="AU18" s="6" t="s">
        <v>357</v>
      </c>
    </row>
    <row r="19" spans="2:47" s="6" customFormat="1" ht="71.25" x14ac:dyDescent="0.2">
      <c r="B19" s="6" t="s">
        <v>53</v>
      </c>
      <c r="C19" s="6" t="s">
        <v>54</v>
      </c>
      <c r="D19" s="6" t="s">
        <v>55</v>
      </c>
      <c r="E19" s="6" t="s">
        <v>271</v>
      </c>
      <c r="H19" s="6" t="s">
        <v>165</v>
      </c>
      <c r="I19" s="6" t="s">
        <v>149</v>
      </c>
      <c r="J19" s="17" t="s">
        <v>358</v>
      </c>
      <c r="K19" s="6" t="s">
        <v>359</v>
      </c>
      <c r="L19" s="6" t="s">
        <v>360</v>
      </c>
      <c r="M19" s="22" t="s">
        <v>361</v>
      </c>
      <c r="N19" s="20" t="s">
        <v>362</v>
      </c>
      <c r="O19" s="6" t="s">
        <v>363</v>
      </c>
      <c r="P19" s="6" t="s">
        <v>27</v>
      </c>
      <c r="Q19" s="6" t="s">
        <v>166</v>
      </c>
      <c r="R19" s="26">
        <v>62012</v>
      </c>
      <c r="S19" s="6" t="s">
        <v>303</v>
      </c>
      <c r="T19" s="6" t="s">
        <v>53</v>
      </c>
      <c r="U19" s="6" t="s">
        <v>27</v>
      </c>
      <c r="V19" s="6" t="s">
        <v>27</v>
      </c>
      <c r="W19" s="6" t="s">
        <v>27</v>
      </c>
      <c r="X19" s="6" t="s">
        <v>27</v>
      </c>
      <c r="Y19" s="6" t="s">
        <v>27</v>
      </c>
      <c r="Z19" s="6" t="s">
        <v>27</v>
      </c>
      <c r="AA19" s="6" t="s">
        <v>27</v>
      </c>
      <c r="AB19" s="6" t="s">
        <v>149</v>
      </c>
      <c r="AC19" s="6" t="s">
        <v>273</v>
      </c>
      <c r="AD19" s="6" t="s">
        <v>27</v>
      </c>
      <c r="AE19" s="6" t="s">
        <v>277</v>
      </c>
      <c r="AG19" s="6" t="s">
        <v>272</v>
      </c>
      <c r="AH19" s="28" t="str">
        <f t="shared" si="2"/>
        <v>2012,201201,201202</v>
      </c>
      <c r="AI19" s="6">
        <v>201200</v>
      </c>
      <c r="AJ19" s="6" t="s">
        <v>53</v>
      </c>
      <c r="AK19" s="6" t="s">
        <v>364</v>
      </c>
      <c r="AM19" s="6" t="s">
        <v>290</v>
      </c>
      <c r="AN19" s="6" t="s">
        <v>291</v>
      </c>
      <c r="AO19" s="6" t="s">
        <v>365</v>
      </c>
      <c r="AP19" s="6" t="s">
        <v>53</v>
      </c>
      <c r="AR19" s="6" t="s">
        <v>53</v>
      </c>
      <c r="AS19" s="6" t="s">
        <v>366</v>
      </c>
      <c r="AT19" s="32" t="s">
        <v>367</v>
      </c>
      <c r="AU19" s="6" t="s">
        <v>368</v>
      </c>
    </row>
    <row r="20" spans="2:47" s="6" customFormat="1" x14ac:dyDescent="0.2">
      <c r="B20" s="6">
        <v>2013</v>
      </c>
      <c r="D20" s="6" t="s">
        <v>56</v>
      </c>
      <c r="E20" s="6" t="s">
        <v>271</v>
      </c>
      <c r="G20" s="6" t="s">
        <v>27</v>
      </c>
      <c r="H20" s="6">
        <v>2</v>
      </c>
      <c r="I20" s="6" t="s">
        <v>149</v>
      </c>
      <c r="J20" s="17"/>
      <c r="M20" s="22" t="s">
        <v>344</v>
      </c>
      <c r="N20" s="20" t="s">
        <v>369</v>
      </c>
      <c r="O20" s="6" t="s">
        <v>370</v>
      </c>
      <c r="P20" s="6" t="s">
        <v>167</v>
      </c>
      <c r="Q20" s="6" t="s">
        <v>27</v>
      </c>
      <c r="T20" s="6">
        <f t="shared" si="1"/>
        <v>2013</v>
      </c>
      <c r="U20" s="6" t="s">
        <v>27</v>
      </c>
      <c r="V20" s="6" t="s">
        <v>27</v>
      </c>
      <c r="W20" s="6">
        <v>1</v>
      </c>
      <c r="X20" s="6">
        <v>1</v>
      </c>
      <c r="Y20" s="6">
        <v>1</v>
      </c>
      <c r="Z20" s="6">
        <v>1</v>
      </c>
      <c r="AA20" s="6">
        <v>1</v>
      </c>
      <c r="AB20" s="6" t="s">
        <v>149</v>
      </c>
      <c r="AC20" s="6" t="s">
        <v>273</v>
      </c>
      <c r="AD20" s="6" t="s">
        <v>27</v>
      </c>
      <c r="AE20" s="6" t="s">
        <v>277</v>
      </c>
      <c r="AG20" s="6" t="s">
        <v>272</v>
      </c>
      <c r="AH20" s="28" t="str">
        <f t="shared" si="2"/>
        <v>2013,201301,201302</v>
      </c>
      <c r="AI20" s="6">
        <v>201300</v>
      </c>
      <c r="AJ20" s="6" t="s">
        <v>561</v>
      </c>
      <c r="AK20" s="6" t="s">
        <v>275</v>
      </c>
      <c r="AM20" s="6" t="s">
        <v>290</v>
      </c>
      <c r="AN20" s="6" t="s">
        <v>291</v>
      </c>
      <c r="AP20" s="6">
        <f t="shared" si="3"/>
        <v>2013</v>
      </c>
      <c r="AR20" s="6">
        <f t="shared" si="4"/>
        <v>2013</v>
      </c>
      <c r="AT20" s="31"/>
    </row>
    <row r="21" spans="2:47" s="6" customFormat="1" ht="71.25" x14ac:dyDescent="0.2">
      <c r="B21" s="6">
        <v>2014</v>
      </c>
      <c r="C21" s="6" t="s">
        <v>57</v>
      </c>
      <c r="D21" s="6" t="s">
        <v>58</v>
      </c>
      <c r="E21" s="6" t="s">
        <v>271</v>
      </c>
      <c r="H21" s="6" t="s">
        <v>166</v>
      </c>
      <c r="I21" s="6" t="s">
        <v>149</v>
      </c>
      <c r="J21" s="17" t="s">
        <v>371</v>
      </c>
      <c r="K21" s="18" t="s">
        <v>372</v>
      </c>
      <c r="L21" s="21" t="s">
        <v>373</v>
      </c>
      <c r="M21" s="22" t="s">
        <v>374</v>
      </c>
      <c r="N21" s="20" t="s">
        <v>375</v>
      </c>
      <c r="O21" s="6" t="s">
        <v>376</v>
      </c>
      <c r="P21" s="6" t="s">
        <v>27</v>
      </c>
      <c r="Q21" s="6" t="s">
        <v>377</v>
      </c>
      <c r="R21" s="26">
        <v>62014</v>
      </c>
      <c r="S21" s="6" t="s">
        <v>303</v>
      </c>
      <c r="T21" s="6">
        <f t="shared" si="1"/>
        <v>2014</v>
      </c>
      <c r="U21" s="6" t="s">
        <v>27</v>
      </c>
      <c r="V21" s="6" t="s">
        <v>27</v>
      </c>
      <c r="W21" s="6">
        <v>0.99</v>
      </c>
      <c r="X21" s="6">
        <v>0.93</v>
      </c>
      <c r="Y21" s="6">
        <v>1.08</v>
      </c>
      <c r="Z21" s="6">
        <v>1</v>
      </c>
      <c r="AA21" s="6">
        <v>1</v>
      </c>
      <c r="AB21" s="6" t="s">
        <v>149</v>
      </c>
      <c r="AC21" s="6" t="s">
        <v>273</v>
      </c>
      <c r="AD21" s="6" t="s">
        <v>27</v>
      </c>
      <c r="AE21" s="6" t="s">
        <v>277</v>
      </c>
      <c r="AF21" s="6" t="s">
        <v>167</v>
      </c>
      <c r="AG21" s="6" t="s">
        <v>272</v>
      </c>
      <c r="AH21" s="28" t="str">
        <f t="shared" si="2"/>
        <v>2014,201401,201402</v>
      </c>
      <c r="AI21" s="28">
        <v>201400</v>
      </c>
      <c r="AJ21" s="6" t="s">
        <v>378</v>
      </c>
      <c r="AK21" s="6" t="s">
        <v>275</v>
      </c>
      <c r="AM21" s="6" t="s">
        <v>290</v>
      </c>
      <c r="AN21" s="6" t="s">
        <v>291</v>
      </c>
      <c r="AO21" s="6" t="s">
        <v>379</v>
      </c>
      <c r="AP21" s="6">
        <f t="shared" si="3"/>
        <v>2014</v>
      </c>
      <c r="AR21" s="6">
        <f t="shared" si="4"/>
        <v>2014</v>
      </c>
      <c r="AS21" s="6" t="s">
        <v>380</v>
      </c>
      <c r="AT21" s="32" t="s">
        <v>381</v>
      </c>
      <c r="AU21" s="6" t="s">
        <v>382</v>
      </c>
    </row>
    <row r="22" spans="2:47" s="6" customFormat="1" ht="57" x14ac:dyDescent="0.2">
      <c r="B22" s="6">
        <v>2015</v>
      </c>
      <c r="C22" s="6" t="s">
        <v>60</v>
      </c>
      <c r="D22" s="6" t="s">
        <v>61</v>
      </c>
      <c r="E22" s="6" t="s">
        <v>271</v>
      </c>
      <c r="H22" s="6" t="s">
        <v>27</v>
      </c>
      <c r="I22" s="6" t="s">
        <v>149</v>
      </c>
      <c r="J22" s="17" t="s">
        <v>383</v>
      </c>
      <c r="K22" s="20" t="s">
        <v>384</v>
      </c>
      <c r="L22" s="20" t="s">
        <v>385</v>
      </c>
      <c r="M22" s="22" t="s">
        <v>386</v>
      </c>
      <c r="N22" s="20" t="s">
        <v>387</v>
      </c>
      <c r="O22" s="20" t="s">
        <v>388</v>
      </c>
      <c r="P22" s="6" t="s">
        <v>49</v>
      </c>
      <c r="Q22" s="6" t="s">
        <v>49</v>
      </c>
      <c r="R22" s="26">
        <v>62015</v>
      </c>
      <c r="S22" s="6" t="s">
        <v>303</v>
      </c>
      <c r="T22" s="6">
        <f t="shared" si="1"/>
        <v>2015</v>
      </c>
      <c r="U22" s="6" t="s">
        <v>27</v>
      </c>
      <c r="V22" s="6" t="s">
        <v>27</v>
      </c>
      <c r="W22" s="6">
        <v>1</v>
      </c>
      <c r="X22" s="6">
        <v>1</v>
      </c>
      <c r="Y22" s="6">
        <v>1</v>
      </c>
      <c r="Z22" s="6">
        <v>1</v>
      </c>
      <c r="AA22" s="6">
        <v>1</v>
      </c>
      <c r="AB22" s="6" t="s">
        <v>149</v>
      </c>
      <c r="AC22" s="6" t="s">
        <v>273</v>
      </c>
      <c r="AD22" s="6" t="s">
        <v>27</v>
      </c>
      <c r="AE22" s="6" t="s">
        <v>277</v>
      </c>
      <c r="AG22" s="6" t="s">
        <v>272</v>
      </c>
      <c r="AH22" s="28" t="str">
        <f t="shared" si="2"/>
        <v>2015,201501,201502</v>
      </c>
      <c r="AI22" s="28">
        <v>201500</v>
      </c>
      <c r="AJ22" s="6" t="s">
        <v>389</v>
      </c>
      <c r="AK22" s="6" t="s">
        <v>275</v>
      </c>
      <c r="AM22" s="6" t="s">
        <v>290</v>
      </c>
      <c r="AN22" s="6" t="s">
        <v>291</v>
      </c>
      <c r="AO22" s="6" t="s">
        <v>390</v>
      </c>
      <c r="AP22" s="6">
        <f t="shared" si="3"/>
        <v>2015</v>
      </c>
      <c r="AR22" s="6">
        <f t="shared" si="4"/>
        <v>2015</v>
      </c>
      <c r="AS22" s="6" t="s">
        <v>391</v>
      </c>
      <c r="AT22" s="31" t="s">
        <v>392</v>
      </c>
      <c r="AU22" s="6" t="s">
        <v>393</v>
      </c>
    </row>
    <row r="23" spans="2:47" s="6" customFormat="1" ht="57" x14ac:dyDescent="0.2">
      <c r="B23" s="6">
        <v>2016</v>
      </c>
      <c r="C23" s="6" t="s">
        <v>62</v>
      </c>
      <c r="D23" s="6" t="s">
        <v>63</v>
      </c>
      <c r="E23" s="6" t="s">
        <v>271</v>
      </c>
      <c r="G23" s="6" t="s">
        <v>27</v>
      </c>
      <c r="H23" s="6">
        <v>2</v>
      </c>
      <c r="I23" s="6" t="s">
        <v>149</v>
      </c>
      <c r="J23" s="17"/>
      <c r="K23" s="20" t="s">
        <v>394</v>
      </c>
      <c r="L23" s="20" t="s">
        <v>394</v>
      </c>
      <c r="M23" s="22" t="s">
        <v>344</v>
      </c>
      <c r="N23" s="20" t="s">
        <v>395</v>
      </c>
      <c r="O23" s="6" t="s">
        <v>396</v>
      </c>
      <c r="P23" s="6" t="s">
        <v>146</v>
      </c>
      <c r="Q23" s="6" t="s">
        <v>167</v>
      </c>
      <c r="R23" s="26">
        <v>62016</v>
      </c>
      <c r="T23" s="6">
        <f t="shared" si="1"/>
        <v>2016</v>
      </c>
      <c r="U23" s="6" t="s">
        <v>27</v>
      </c>
      <c r="V23" s="6" t="s">
        <v>27</v>
      </c>
      <c r="W23" s="6">
        <v>1</v>
      </c>
      <c r="X23" s="6">
        <v>1</v>
      </c>
      <c r="Y23" s="6">
        <v>1</v>
      </c>
      <c r="Z23" s="6">
        <v>1</v>
      </c>
      <c r="AA23" s="6">
        <v>1</v>
      </c>
      <c r="AB23" s="6" t="s">
        <v>149</v>
      </c>
      <c r="AC23" s="6" t="s">
        <v>273</v>
      </c>
      <c r="AD23" s="6" t="s">
        <v>27</v>
      </c>
      <c r="AE23" s="6" t="s">
        <v>277</v>
      </c>
      <c r="AF23" s="6" t="s">
        <v>156</v>
      </c>
      <c r="AG23" s="6" t="s">
        <v>272</v>
      </c>
      <c r="AH23" s="28" t="str">
        <f t="shared" si="2"/>
        <v>2016,201601,201602</v>
      </c>
      <c r="AI23" s="6">
        <v>201600</v>
      </c>
      <c r="AJ23" s="6" t="s">
        <v>165</v>
      </c>
      <c r="AK23" s="6" t="s">
        <v>275</v>
      </c>
      <c r="AM23" s="6" t="s">
        <v>290</v>
      </c>
      <c r="AN23" s="6" t="s">
        <v>291</v>
      </c>
      <c r="AO23" s="6" t="s">
        <v>397</v>
      </c>
      <c r="AP23" s="6">
        <f t="shared" si="3"/>
        <v>2016</v>
      </c>
      <c r="AR23" s="6">
        <f t="shared" si="4"/>
        <v>2016</v>
      </c>
      <c r="AT23" s="31" t="s">
        <v>398</v>
      </c>
      <c r="AU23" s="6" t="s">
        <v>399</v>
      </c>
    </row>
    <row r="24" spans="2:47" s="6" customFormat="1" x14ac:dyDescent="0.2">
      <c r="B24" s="6">
        <v>2017</v>
      </c>
      <c r="D24" s="6" t="s">
        <v>64</v>
      </c>
      <c r="E24" s="6" t="s">
        <v>400</v>
      </c>
      <c r="G24" s="6" t="s">
        <v>27</v>
      </c>
      <c r="I24" s="6" t="s">
        <v>149</v>
      </c>
      <c r="J24" s="17"/>
      <c r="M24" s="22" t="s">
        <v>344</v>
      </c>
      <c r="N24" s="20" t="s">
        <v>401</v>
      </c>
      <c r="O24" s="6" t="s">
        <v>402</v>
      </c>
      <c r="T24" s="6">
        <f t="shared" si="1"/>
        <v>2017</v>
      </c>
      <c r="U24" s="6" t="s">
        <v>27</v>
      </c>
      <c r="V24" s="6" t="s">
        <v>27</v>
      </c>
      <c r="W24" s="6">
        <v>1</v>
      </c>
      <c r="X24" s="6">
        <v>1</v>
      </c>
      <c r="Y24" s="6">
        <v>1</v>
      </c>
      <c r="Z24" s="6">
        <v>1</v>
      </c>
      <c r="AA24" s="6">
        <v>1</v>
      </c>
      <c r="AB24" s="6" t="s">
        <v>149</v>
      </c>
      <c r="AC24" s="6" t="s">
        <v>273</v>
      </c>
      <c r="AD24" s="6" t="s">
        <v>27</v>
      </c>
      <c r="AE24" s="6" t="s">
        <v>277</v>
      </c>
      <c r="AG24" s="6" t="s">
        <v>272</v>
      </c>
      <c r="AH24" s="28" t="str">
        <f t="shared" si="2"/>
        <v>2017,201701,201702</v>
      </c>
      <c r="AI24" s="6">
        <v>201700</v>
      </c>
      <c r="AJ24" s="6" t="s">
        <v>27</v>
      </c>
      <c r="AK24" s="6" t="s">
        <v>275</v>
      </c>
      <c r="AM24" s="6" t="s">
        <v>290</v>
      </c>
      <c r="AN24" s="6" t="s">
        <v>291</v>
      </c>
      <c r="AP24" s="6">
        <f t="shared" si="3"/>
        <v>2017</v>
      </c>
      <c r="AR24" s="6">
        <f t="shared" si="4"/>
        <v>2017</v>
      </c>
      <c r="AT24" s="31"/>
    </row>
    <row r="25" spans="2:47" s="6" customFormat="1" ht="57" x14ac:dyDescent="0.2">
      <c r="B25" s="6">
        <v>2018</v>
      </c>
      <c r="C25" s="6" t="s">
        <v>65</v>
      </c>
      <c r="D25" s="6" t="s">
        <v>66</v>
      </c>
      <c r="E25" s="6" t="s">
        <v>271</v>
      </c>
      <c r="H25" s="6" t="s">
        <v>165</v>
      </c>
      <c r="I25" s="6" t="s">
        <v>149</v>
      </c>
      <c r="J25" s="17" t="s">
        <v>403</v>
      </c>
      <c r="K25" s="6" t="s">
        <v>404</v>
      </c>
      <c r="L25" s="6" t="s">
        <v>405</v>
      </c>
      <c r="M25" s="22" t="s">
        <v>406</v>
      </c>
      <c r="N25" s="20" t="s">
        <v>407</v>
      </c>
      <c r="O25" s="6" t="s">
        <v>408</v>
      </c>
      <c r="P25" s="6" t="s">
        <v>146</v>
      </c>
      <c r="Q25" s="6" t="s">
        <v>409</v>
      </c>
      <c r="R25" s="26">
        <v>62018</v>
      </c>
      <c r="S25" s="6" t="s">
        <v>303</v>
      </c>
      <c r="T25" s="6">
        <f t="shared" si="1"/>
        <v>2018</v>
      </c>
      <c r="U25" s="6" t="s">
        <v>27</v>
      </c>
      <c r="V25" s="6" t="s">
        <v>27</v>
      </c>
      <c r="W25" s="6">
        <v>1.02</v>
      </c>
      <c r="X25" s="6">
        <v>0.95</v>
      </c>
      <c r="Y25" s="6">
        <v>1.03</v>
      </c>
      <c r="Z25" s="6">
        <v>1</v>
      </c>
      <c r="AA25" s="6">
        <v>1</v>
      </c>
      <c r="AB25" s="6" t="s">
        <v>149</v>
      </c>
      <c r="AC25" s="6" t="s">
        <v>273</v>
      </c>
      <c r="AD25" s="6" t="s">
        <v>27</v>
      </c>
      <c r="AE25" s="6" t="s">
        <v>277</v>
      </c>
      <c r="AG25" s="6" t="s">
        <v>272</v>
      </c>
      <c r="AH25" s="28" t="str">
        <f t="shared" si="2"/>
        <v>2018,201801,201802</v>
      </c>
      <c r="AI25" s="6" t="s">
        <v>410</v>
      </c>
      <c r="AJ25" s="6" t="s">
        <v>411</v>
      </c>
      <c r="AK25" s="6" t="s">
        <v>275</v>
      </c>
      <c r="AM25" s="6" t="s">
        <v>290</v>
      </c>
      <c r="AN25" s="6" t="s">
        <v>291</v>
      </c>
      <c r="AO25" s="6" t="s">
        <v>412</v>
      </c>
      <c r="AP25" s="6">
        <f t="shared" si="3"/>
        <v>2018</v>
      </c>
      <c r="AR25" s="6">
        <f t="shared" si="4"/>
        <v>2018</v>
      </c>
      <c r="AS25" s="6" t="s">
        <v>413</v>
      </c>
      <c r="AT25" s="31" t="s">
        <v>414</v>
      </c>
      <c r="AU25" s="6" t="s">
        <v>415</v>
      </c>
    </row>
    <row r="26" spans="2:47" s="6" customFormat="1" x14ac:dyDescent="0.2">
      <c r="B26" s="6">
        <v>2019</v>
      </c>
      <c r="D26" s="6" t="s">
        <v>68</v>
      </c>
      <c r="E26" s="6" t="s">
        <v>271</v>
      </c>
      <c r="G26" s="6" t="s">
        <v>27</v>
      </c>
      <c r="H26" s="6" t="s">
        <v>165</v>
      </c>
      <c r="I26" s="6" t="s">
        <v>149</v>
      </c>
      <c r="J26" s="17"/>
      <c r="M26" s="22" t="s">
        <v>344</v>
      </c>
      <c r="N26" s="20" t="s">
        <v>416</v>
      </c>
      <c r="O26" s="6" t="s">
        <v>417</v>
      </c>
      <c r="P26" s="6" t="s">
        <v>27</v>
      </c>
      <c r="Q26" s="6" t="s">
        <v>27</v>
      </c>
      <c r="R26" s="26">
        <v>62019</v>
      </c>
      <c r="T26" s="6">
        <f t="shared" si="1"/>
        <v>2019</v>
      </c>
      <c r="U26" s="6" t="s">
        <v>27</v>
      </c>
      <c r="V26" s="6" t="s">
        <v>27</v>
      </c>
      <c r="W26" s="6">
        <v>1</v>
      </c>
      <c r="X26" s="6">
        <v>1</v>
      </c>
      <c r="Y26" s="6">
        <v>1</v>
      </c>
      <c r="Z26" s="6">
        <v>1</v>
      </c>
      <c r="AA26" s="6">
        <v>1</v>
      </c>
      <c r="AB26" s="6" t="s">
        <v>149</v>
      </c>
      <c r="AC26" s="6" t="s">
        <v>273</v>
      </c>
      <c r="AD26" s="6" t="s">
        <v>27</v>
      </c>
      <c r="AE26" s="6" t="s">
        <v>277</v>
      </c>
      <c r="AF26" s="6" t="s">
        <v>158</v>
      </c>
      <c r="AG26" s="6" t="s">
        <v>272</v>
      </c>
      <c r="AH26" s="28" t="str">
        <f t="shared" si="2"/>
        <v>2019,201901,201902</v>
      </c>
      <c r="AI26" s="6">
        <v>201900</v>
      </c>
      <c r="AJ26" s="6" t="s">
        <v>418</v>
      </c>
      <c r="AK26" s="6" t="s">
        <v>275</v>
      </c>
      <c r="AM26" s="6" t="s">
        <v>290</v>
      </c>
      <c r="AN26" s="6" t="s">
        <v>291</v>
      </c>
      <c r="AP26" s="6">
        <f t="shared" si="3"/>
        <v>2019</v>
      </c>
      <c r="AR26" s="6">
        <f t="shared" si="4"/>
        <v>2019</v>
      </c>
      <c r="AT26" s="31"/>
    </row>
    <row r="27" spans="2:47" s="6" customFormat="1" ht="57" x14ac:dyDescent="0.2">
      <c r="B27" s="6">
        <v>2020</v>
      </c>
      <c r="C27" s="6" t="s">
        <v>69</v>
      </c>
      <c r="D27" s="6" t="s">
        <v>70</v>
      </c>
      <c r="E27" s="6" t="s">
        <v>271</v>
      </c>
      <c r="H27" s="6">
        <v>3</v>
      </c>
      <c r="I27" s="6" t="s">
        <v>149</v>
      </c>
      <c r="J27" s="17" t="s">
        <v>419</v>
      </c>
      <c r="K27" s="18" t="s">
        <v>420</v>
      </c>
      <c r="L27" s="21" t="s">
        <v>421</v>
      </c>
      <c r="M27" s="22" t="s">
        <v>422</v>
      </c>
      <c r="N27" s="20" t="s">
        <v>423</v>
      </c>
      <c r="O27" s="6" t="s">
        <v>424</v>
      </c>
      <c r="P27" s="6" t="s">
        <v>167</v>
      </c>
      <c r="Q27" s="6" t="s">
        <v>27</v>
      </c>
      <c r="R27" s="26">
        <v>62020</v>
      </c>
      <c r="S27" s="6" t="s">
        <v>303</v>
      </c>
      <c r="T27" s="6">
        <f t="shared" si="1"/>
        <v>2020</v>
      </c>
      <c r="U27" s="6" t="s">
        <v>27</v>
      </c>
      <c r="V27" s="6" t="s">
        <v>27</v>
      </c>
      <c r="W27" s="6" t="s">
        <v>26</v>
      </c>
      <c r="X27" s="6" t="s">
        <v>71</v>
      </c>
      <c r="Y27" s="6" t="s">
        <v>26</v>
      </c>
      <c r="Z27" s="6" t="s">
        <v>27</v>
      </c>
      <c r="AA27" s="6">
        <v>1</v>
      </c>
      <c r="AB27" s="6" t="s">
        <v>149</v>
      </c>
      <c r="AC27" s="6" t="s">
        <v>273</v>
      </c>
      <c r="AD27" s="6" t="s">
        <v>27</v>
      </c>
      <c r="AE27" s="6" t="s">
        <v>277</v>
      </c>
      <c r="AF27" s="6" t="s">
        <v>146</v>
      </c>
      <c r="AG27" s="6" t="s">
        <v>272</v>
      </c>
      <c r="AH27" s="28" t="str">
        <f t="shared" si="2"/>
        <v>2020,202001,202002</v>
      </c>
      <c r="AI27" s="6">
        <v>202000</v>
      </c>
      <c r="AJ27" s="6" t="s">
        <v>425</v>
      </c>
      <c r="AK27" s="6" t="s">
        <v>426</v>
      </c>
      <c r="AM27" s="6" t="s">
        <v>290</v>
      </c>
      <c r="AN27" s="6" t="s">
        <v>291</v>
      </c>
      <c r="AO27" s="6" t="s">
        <v>427</v>
      </c>
      <c r="AP27" s="6">
        <f t="shared" si="3"/>
        <v>2020</v>
      </c>
      <c r="AR27" s="6">
        <f t="shared" si="4"/>
        <v>2020</v>
      </c>
      <c r="AS27" s="6" t="s">
        <v>428</v>
      </c>
      <c r="AT27" s="31" t="s">
        <v>429</v>
      </c>
      <c r="AU27" s="6" t="s">
        <v>430</v>
      </c>
    </row>
    <row r="28" spans="2:47" s="6" customFormat="1" x14ac:dyDescent="0.2">
      <c r="B28" s="6">
        <v>2021</v>
      </c>
      <c r="D28" s="6" t="s">
        <v>72</v>
      </c>
      <c r="E28" s="6" t="s">
        <v>271</v>
      </c>
      <c r="G28" s="6" t="s">
        <v>27</v>
      </c>
      <c r="H28" s="6" t="s">
        <v>165</v>
      </c>
      <c r="I28" s="6" t="s">
        <v>149</v>
      </c>
      <c r="J28" s="17"/>
      <c r="M28" s="22" t="s">
        <v>344</v>
      </c>
      <c r="N28" s="20" t="s">
        <v>431</v>
      </c>
      <c r="O28" s="6" t="s">
        <v>432</v>
      </c>
      <c r="P28" s="6" t="s">
        <v>49</v>
      </c>
      <c r="Q28" s="6" t="s">
        <v>27</v>
      </c>
      <c r="R28" s="26">
        <v>62021</v>
      </c>
      <c r="T28" s="6">
        <f t="shared" si="1"/>
        <v>2021</v>
      </c>
      <c r="U28" s="6" t="s">
        <v>27</v>
      </c>
      <c r="V28" s="6" t="s">
        <v>27</v>
      </c>
      <c r="W28" s="6">
        <v>1</v>
      </c>
      <c r="X28" s="6" t="s">
        <v>73</v>
      </c>
      <c r="Y28" s="6">
        <v>1</v>
      </c>
      <c r="Z28" s="6">
        <v>1</v>
      </c>
      <c r="AA28" s="6">
        <v>1</v>
      </c>
      <c r="AB28" s="6" t="s">
        <v>149</v>
      </c>
      <c r="AC28" s="6" t="s">
        <v>273</v>
      </c>
      <c r="AD28" s="6" t="s">
        <v>27</v>
      </c>
      <c r="AE28" s="6" t="s">
        <v>277</v>
      </c>
      <c r="AG28" s="6" t="s">
        <v>272</v>
      </c>
      <c r="AH28" s="28" t="str">
        <f t="shared" si="2"/>
        <v>2021,202101,202102</v>
      </c>
      <c r="AI28" s="6">
        <v>202100</v>
      </c>
      <c r="AJ28" s="6" t="s">
        <v>433</v>
      </c>
      <c r="AK28" s="6" t="s">
        <v>275</v>
      </c>
      <c r="AM28" s="6" t="s">
        <v>290</v>
      </c>
      <c r="AN28" s="6" t="s">
        <v>291</v>
      </c>
      <c r="AO28" s="6" t="s">
        <v>434</v>
      </c>
      <c r="AP28" s="6">
        <f t="shared" si="3"/>
        <v>2021</v>
      </c>
      <c r="AR28" s="6">
        <f t="shared" si="4"/>
        <v>2021</v>
      </c>
    </row>
    <row r="29" spans="2:47" s="6" customFormat="1" ht="57" x14ac:dyDescent="0.2">
      <c r="B29" s="6">
        <v>2022</v>
      </c>
      <c r="C29" s="6" t="s">
        <v>74</v>
      </c>
      <c r="D29" s="6" t="s">
        <v>75</v>
      </c>
      <c r="E29" s="6" t="s">
        <v>271</v>
      </c>
      <c r="H29" s="6" t="s">
        <v>166</v>
      </c>
      <c r="I29" s="6" t="s">
        <v>149</v>
      </c>
      <c r="J29" s="17" t="s">
        <v>435</v>
      </c>
      <c r="K29" s="21" t="s">
        <v>436</v>
      </c>
      <c r="L29" s="18" t="s">
        <v>437</v>
      </c>
      <c r="M29" s="22" t="s">
        <v>438</v>
      </c>
      <c r="N29" s="20" t="s">
        <v>439</v>
      </c>
      <c r="O29" s="6" t="s">
        <v>440</v>
      </c>
      <c r="P29" s="6" t="s">
        <v>167</v>
      </c>
      <c r="Q29" s="6" t="s">
        <v>27</v>
      </c>
      <c r="R29" s="26">
        <v>62022</v>
      </c>
      <c r="S29" s="6" t="s">
        <v>303</v>
      </c>
      <c r="T29" s="6">
        <f t="shared" si="1"/>
        <v>2022</v>
      </c>
      <c r="U29" s="6" t="s">
        <v>27</v>
      </c>
      <c r="V29" s="6" t="s">
        <v>27</v>
      </c>
      <c r="W29" s="6" t="s">
        <v>441</v>
      </c>
      <c r="X29" s="6" t="s">
        <v>71</v>
      </c>
      <c r="Y29" s="6" t="s">
        <v>26</v>
      </c>
      <c r="Z29" s="6" t="s">
        <v>27</v>
      </c>
      <c r="AA29" s="6" t="s">
        <v>27</v>
      </c>
      <c r="AB29" s="6" t="s">
        <v>149</v>
      </c>
      <c r="AC29" s="6" t="s">
        <v>273</v>
      </c>
      <c r="AD29" s="6" t="s">
        <v>27</v>
      </c>
      <c r="AE29" s="6" t="s">
        <v>277</v>
      </c>
      <c r="AF29" s="6" t="s">
        <v>148</v>
      </c>
      <c r="AG29" s="6" t="s">
        <v>272</v>
      </c>
      <c r="AH29" s="28" t="str">
        <f t="shared" si="2"/>
        <v>2022,202201,202202</v>
      </c>
      <c r="AI29" s="28">
        <v>202200</v>
      </c>
      <c r="AJ29" s="6" t="s">
        <v>442</v>
      </c>
      <c r="AK29" s="6" t="s">
        <v>275</v>
      </c>
      <c r="AM29" s="6" t="s">
        <v>290</v>
      </c>
      <c r="AN29" s="6" t="s">
        <v>291</v>
      </c>
      <c r="AO29" s="6" t="s">
        <v>443</v>
      </c>
      <c r="AP29" s="6">
        <f t="shared" si="3"/>
        <v>2022</v>
      </c>
      <c r="AR29" s="6">
        <f t="shared" si="4"/>
        <v>2022</v>
      </c>
      <c r="AS29" s="6" t="s">
        <v>444</v>
      </c>
      <c r="AT29" s="31" t="s">
        <v>445</v>
      </c>
      <c r="AU29" s="6" t="s">
        <v>446</v>
      </c>
    </row>
    <row r="30" spans="2:47" s="6" customFormat="1" ht="57" x14ac:dyDescent="0.2">
      <c r="B30" s="6">
        <v>2023</v>
      </c>
      <c r="C30" s="6" t="s">
        <v>76</v>
      </c>
      <c r="D30" s="6" t="s">
        <v>77</v>
      </c>
      <c r="E30" s="6" t="s">
        <v>271</v>
      </c>
      <c r="H30" s="6" t="s">
        <v>165</v>
      </c>
      <c r="I30" s="6" t="s">
        <v>149</v>
      </c>
      <c r="J30" s="17" t="s">
        <v>447</v>
      </c>
      <c r="K30" s="20" t="s">
        <v>448</v>
      </c>
      <c r="L30" s="20" t="s">
        <v>449</v>
      </c>
      <c r="M30" s="22" t="s">
        <v>450</v>
      </c>
      <c r="N30" s="20" t="s">
        <v>451</v>
      </c>
      <c r="O30" s="20" t="s">
        <v>452</v>
      </c>
      <c r="P30" s="6" t="s">
        <v>167</v>
      </c>
      <c r="Q30" s="6" t="s">
        <v>27</v>
      </c>
      <c r="R30" s="26">
        <v>62023</v>
      </c>
      <c r="S30" s="6" t="s">
        <v>303</v>
      </c>
      <c r="T30" s="6">
        <f t="shared" si="1"/>
        <v>2023</v>
      </c>
      <c r="U30" s="6" t="s">
        <v>27</v>
      </c>
      <c r="V30" s="6" t="s">
        <v>27</v>
      </c>
      <c r="W30" s="6" t="s">
        <v>453</v>
      </c>
      <c r="X30" s="6" t="s">
        <v>79</v>
      </c>
      <c r="Y30" s="6" t="s">
        <v>26</v>
      </c>
      <c r="Z30" s="6">
        <v>1</v>
      </c>
      <c r="AA30" s="6">
        <v>1</v>
      </c>
      <c r="AB30" s="6" t="s">
        <v>149</v>
      </c>
      <c r="AC30" s="6" t="s">
        <v>273</v>
      </c>
      <c r="AD30" s="6" t="s">
        <v>27</v>
      </c>
      <c r="AE30" s="6" t="s">
        <v>277</v>
      </c>
      <c r="AG30" s="6" t="s">
        <v>272</v>
      </c>
      <c r="AH30" s="28" t="str">
        <f t="shared" si="2"/>
        <v>2023,202301,202302</v>
      </c>
      <c r="AI30" s="6">
        <v>202300</v>
      </c>
      <c r="AJ30" s="6" t="s">
        <v>454</v>
      </c>
      <c r="AK30" s="6" t="s">
        <v>455</v>
      </c>
      <c r="AM30" s="6" t="s">
        <v>290</v>
      </c>
      <c r="AN30" s="6" t="s">
        <v>291</v>
      </c>
      <c r="AO30" s="6" t="s">
        <v>456</v>
      </c>
      <c r="AP30" s="6">
        <f t="shared" si="3"/>
        <v>2023</v>
      </c>
      <c r="AR30" s="6">
        <f t="shared" si="4"/>
        <v>2023</v>
      </c>
      <c r="AS30" s="6" t="s">
        <v>457</v>
      </c>
      <c r="AT30" s="31" t="s">
        <v>458</v>
      </c>
      <c r="AU30" s="6" t="s">
        <v>459</v>
      </c>
    </row>
    <row r="31" spans="2:47" s="6" customFormat="1" ht="57" x14ac:dyDescent="0.2">
      <c r="B31" s="6" t="s">
        <v>80</v>
      </c>
      <c r="C31" s="6" t="s">
        <v>81</v>
      </c>
      <c r="D31" s="6" t="s">
        <v>82</v>
      </c>
      <c r="E31" s="6" t="s">
        <v>271</v>
      </c>
      <c r="H31" s="6" t="s">
        <v>27</v>
      </c>
      <c r="I31" s="6" t="s">
        <v>149</v>
      </c>
      <c r="J31" s="17" t="s">
        <v>460</v>
      </c>
      <c r="K31" s="21" t="s">
        <v>461</v>
      </c>
      <c r="L31" s="21" t="s">
        <v>462</v>
      </c>
      <c r="M31" s="22" t="s">
        <v>463</v>
      </c>
      <c r="N31" s="20" t="s">
        <v>464</v>
      </c>
      <c r="O31" s="6" t="s">
        <v>465</v>
      </c>
      <c r="P31" s="6" t="s">
        <v>27</v>
      </c>
      <c r="Q31" s="6" t="s">
        <v>165</v>
      </c>
      <c r="R31" s="26">
        <v>62024</v>
      </c>
      <c r="S31" s="6" t="s">
        <v>303</v>
      </c>
      <c r="T31" s="6" t="str">
        <f t="shared" si="1"/>
        <v>2024</v>
      </c>
      <c r="U31" s="6" t="s">
        <v>27</v>
      </c>
      <c r="V31" s="6" t="s">
        <v>27</v>
      </c>
      <c r="W31" s="6">
        <v>0.95</v>
      </c>
      <c r="X31" s="6">
        <v>1.03</v>
      </c>
      <c r="Y31" s="6">
        <v>0.97</v>
      </c>
      <c r="Z31" s="6">
        <v>2</v>
      </c>
      <c r="AA31" s="6">
        <v>1</v>
      </c>
      <c r="AB31" s="6" t="s">
        <v>149</v>
      </c>
      <c r="AC31" s="6" t="s">
        <v>273</v>
      </c>
      <c r="AD31" s="6" t="s">
        <v>27</v>
      </c>
      <c r="AE31" s="6" t="s">
        <v>277</v>
      </c>
      <c r="AG31" s="6" t="s">
        <v>272</v>
      </c>
      <c r="AH31" s="28" t="str">
        <f t="shared" si="2"/>
        <v>2024,202401,202402</v>
      </c>
      <c r="AI31" s="6">
        <v>202400</v>
      </c>
      <c r="AJ31" s="6" t="s">
        <v>80</v>
      </c>
      <c r="AK31" s="6" t="s">
        <v>275</v>
      </c>
      <c r="AM31" s="6" t="s">
        <v>290</v>
      </c>
      <c r="AN31" s="6" t="s">
        <v>291</v>
      </c>
      <c r="AO31" s="6" t="s">
        <v>466</v>
      </c>
      <c r="AP31" s="6" t="str">
        <f t="shared" si="3"/>
        <v>2024</v>
      </c>
      <c r="AR31" s="6" t="str">
        <f t="shared" si="4"/>
        <v>2024</v>
      </c>
      <c r="AS31" s="6" t="s">
        <v>467</v>
      </c>
      <c r="AT31" s="31" t="s">
        <v>468</v>
      </c>
      <c r="AU31" s="6" t="s">
        <v>469</v>
      </c>
    </row>
    <row r="32" spans="2:47" s="6" customFormat="1" ht="72" x14ac:dyDescent="0.2">
      <c r="B32" s="6" t="s">
        <v>84</v>
      </c>
      <c r="C32" s="6" t="s">
        <v>85</v>
      </c>
      <c r="D32" s="6" t="s">
        <v>86</v>
      </c>
      <c r="E32" s="6" t="s">
        <v>271</v>
      </c>
      <c r="H32" s="6" t="s">
        <v>165</v>
      </c>
      <c r="I32" s="6" t="s">
        <v>149</v>
      </c>
      <c r="J32" s="17" t="s">
        <v>470</v>
      </c>
      <c r="K32" s="21" t="s">
        <v>471</v>
      </c>
      <c r="L32" s="21" t="s">
        <v>472</v>
      </c>
      <c r="M32" s="22" t="s">
        <v>473</v>
      </c>
      <c r="N32" s="20" t="s">
        <v>474</v>
      </c>
      <c r="O32" s="6" t="s">
        <v>475</v>
      </c>
      <c r="P32" s="6" t="s">
        <v>166</v>
      </c>
      <c r="Q32" s="6" t="s">
        <v>165</v>
      </c>
      <c r="R32" s="26">
        <v>62026</v>
      </c>
      <c r="S32" s="6" t="s">
        <v>303</v>
      </c>
      <c r="T32" s="6" t="str">
        <f t="shared" si="1"/>
        <v>2026</v>
      </c>
      <c r="U32" s="6" t="s">
        <v>27</v>
      </c>
      <c r="V32" s="6" t="s">
        <v>27</v>
      </c>
      <c r="W32" s="6">
        <v>1</v>
      </c>
      <c r="X32" s="6">
        <v>1</v>
      </c>
      <c r="Y32" s="6">
        <v>1</v>
      </c>
      <c r="Z32" s="6">
        <v>1</v>
      </c>
      <c r="AA32" s="6">
        <v>1</v>
      </c>
      <c r="AB32" s="6" t="s">
        <v>149</v>
      </c>
      <c r="AC32" s="6" t="s">
        <v>273</v>
      </c>
      <c r="AD32" s="6" t="s">
        <v>27</v>
      </c>
      <c r="AE32" s="6" t="s">
        <v>277</v>
      </c>
      <c r="AG32" s="6" t="s">
        <v>272</v>
      </c>
      <c r="AH32" s="28" t="str">
        <f t="shared" si="2"/>
        <v>2026,202601,202602</v>
      </c>
      <c r="AI32" s="6">
        <v>202600</v>
      </c>
      <c r="AJ32" s="6" t="s">
        <v>84</v>
      </c>
      <c r="AK32" s="6" t="s">
        <v>275</v>
      </c>
      <c r="AM32" s="6" t="s">
        <v>290</v>
      </c>
      <c r="AN32" s="6" t="s">
        <v>291</v>
      </c>
      <c r="AO32" s="6" t="s">
        <v>476</v>
      </c>
      <c r="AP32" s="6" t="str">
        <f t="shared" si="3"/>
        <v>2026</v>
      </c>
      <c r="AR32" s="6" t="str">
        <f t="shared" si="4"/>
        <v>2026</v>
      </c>
      <c r="AS32" s="6" t="s">
        <v>477</v>
      </c>
      <c r="AT32" s="31" t="s">
        <v>478</v>
      </c>
      <c r="AU32" s="6" t="s">
        <v>479</v>
      </c>
    </row>
    <row r="33" spans="1:47" ht="13.5" customHeight="1" x14ac:dyDescent="0.2">
      <c r="A33" s="6"/>
      <c r="B33" s="6">
        <v>2028</v>
      </c>
      <c r="C33" s="6" t="s">
        <v>87</v>
      </c>
      <c r="D33" s="6" t="s">
        <v>88</v>
      </c>
      <c r="E33" s="6" t="s">
        <v>271</v>
      </c>
      <c r="F33" s="6"/>
      <c r="G33" s="6"/>
      <c r="H33" s="6" t="s">
        <v>165</v>
      </c>
      <c r="I33" s="6" t="s">
        <v>149</v>
      </c>
      <c r="J33" s="17"/>
      <c r="K33" s="20" t="s">
        <v>394</v>
      </c>
      <c r="L33" s="20" t="s">
        <v>394</v>
      </c>
      <c r="M33" s="22" t="s">
        <v>344</v>
      </c>
      <c r="N33" s="20" t="s">
        <v>480</v>
      </c>
      <c r="O33" s="6" t="s">
        <v>481</v>
      </c>
      <c r="P33" s="6" t="s">
        <v>146</v>
      </c>
      <c r="Q33" s="6" t="s">
        <v>27</v>
      </c>
      <c r="R33" s="26">
        <v>62028</v>
      </c>
      <c r="S33" s="6"/>
      <c r="T33" s="6">
        <f t="shared" si="1"/>
        <v>2028</v>
      </c>
      <c r="U33" s="6" t="s">
        <v>27</v>
      </c>
      <c r="V33" s="6" t="s">
        <v>27</v>
      </c>
      <c r="W33" s="6">
        <v>1</v>
      </c>
      <c r="X33" s="6">
        <v>1</v>
      </c>
      <c r="Y33" s="6">
        <v>1</v>
      </c>
      <c r="Z33" s="6">
        <v>1</v>
      </c>
      <c r="AA33" s="6">
        <v>1</v>
      </c>
      <c r="AB33" s="6" t="s">
        <v>149</v>
      </c>
      <c r="AC33" s="6" t="s">
        <v>273</v>
      </c>
      <c r="AD33" s="6" t="s">
        <v>27</v>
      </c>
      <c r="AE33" s="6" t="s">
        <v>277</v>
      </c>
      <c r="AF33" s="6"/>
      <c r="AG33" s="6" t="s">
        <v>272</v>
      </c>
      <c r="AH33" s="28" t="str">
        <f t="shared" si="2"/>
        <v>2028,202801,202802</v>
      </c>
      <c r="AI33" s="6">
        <v>202800</v>
      </c>
      <c r="AJ33" s="6" t="s">
        <v>27</v>
      </c>
      <c r="AK33" s="6" t="s">
        <v>275</v>
      </c>
      <c r="AL33" s="6"/>
      <c r="AM33" s="6" t="s">
        <v>290</v>
      </c>
      <c r="AN33" s="6" t="s">
        <v>291</v>
      </c>
      <c r="AO33" s="6" t="s">
        <v>482</v>
      </c>
      <c r="AP33" s="6">
        <f t="shared" si="3"/>
        <v>2028</v>
      </c>
      <c r="AQ33" s="6"/>
      <c r="AR33" s="6">
        <f t="shared" si="4"/>
        <v>2028</v>
      </c>
      <c r="AT33" s="31" t="s">
        <v>483</v>
      </c>
      <c r="AU33" s="6" t="s">
        <v>484</v>
      </c>
    </row>
    <row r="34" spans="1:47" ht="57" x14ac:dyDescent="0.2">
      <c r="A34" s="6"/>
      <c r="B34" s="6" t="s">
        <v>89</v>
      </c>
      <c r="C34" s="6" t="s">
        <v>90</v>
      </c>
      <c r="D34" s="6" t="s">
        <v>91</v>
      </c>
      <c r="E34" s="6" t="s">
        <v>271</v>
      </c>
      <c r="F34" s="6"/>
      <c r="G34" s="6" t="s">
        <v>27</v>
      </c>
      <c r="H34" s="6" t="s">
        <v>166</v>
      </c>
      <c r="I34" s="6" t="s">
        <v>149</v>
      </c>
      <c r="J34" s="17"/>
      <c r="K34" s="18"/>
      <c r="L34" s="18"/>
      <c r="M34" s="22" t="s">
        <v>344</v>
      </c>
      <c r="N34" s="20" t="s">
        <v>485</v>
      </c>
      <c r="O34" s="6" t="s">
        <v>486</v>
      </c>
      <c r="P34" s="6" t="s">
        <v>27</v>
      </c>
      <c r="Q34" s="6" t="s">
        <v>49</v>
      </c>
      <c r="R34" s="26">
        <v>62029</v>
      </c>
      <c r="S34" s="6"/>
      <c r="T34" s="6" t="str">
        <f t="shared" si="1"/>
        <v>2029</v>
      </c>
      <c r="U34" s="6" t="s">
        <v>27</v>
      </c>
      <c r="V34" s="6" t="s">
        <v>27</v>
      </c>
      <c r="W34" s="6">
        <v>1</v>
      </c>
      <c r="X34" s="6" t="s">
        <v>27</v>
      </c>
      <c r="Y34" s="6">
        <v>1</v>
      </c>
      <c r="Z34" s="6">
        <v>1</v>
      </c>
      <c r="AA34" s="6">
        <v>1</v>
      </c>
      <c r="AB34" s="6" t="s">
        <v>149</v>
      </c>
      <c r="AC34" s="6" t="s">
        <v>273</v>
      </c>
      <c r="AD34" s="6" t="s">
        <v>27</v>
      </c>
      <c r="AE34" s="6" t="s">
        <v>277</v>
      </c>
      <c r="AF34" s="6" t="s">
        <v>157</v>
      </c>
      <c r="AG34" s="6" t="s">
        <v>272</v>
      </c>
      <c r="AH34" s="6" t="s">
        <v>487</v>
      </c>
      <c r="AI34" s="6">
        <v>202900</v>
      </c>
      <c r="AJ34" s="6" t="s">
        <v>89</v>
      </c>
      <c r="AK34" s="6" t="s">
        <v>275</v>
      </c>
      <c r="AL34" s="6"/>
      <c r="AM34" s="6" t="s">
        <v>290</v>
      </c>
      <c r="AN34" s="6" t="s">
        <v>291</v>
      </c>
      <c r="AO34" s="6" t="s">
        <v>488</v>
      </c>
      <c r="AP34" s="6" t="str">
        <f t="shared" si="3"/>
        <v>2029</v>
      </c>
      <c r="AQ34" s="6"/>
      <c r="AR34" s="6" t="str">
        <f t="shared" si="4"/>
        <v>2029</v>
      </c>
      <c r="AT34" s="33" t="s">
        <v>489</v>
      </c>
      <c r="AU34" s="34" t="s">
        <v>490</v>
      </c>
    </row>
    <row r="35" spans="1:47" s="6" customFormat="1" ht="57" x14ac:dyDescent="0.2">
      <c r="B35" s="6" t="s">
        <v>92</v>
      </c>
      <c r="C35" s="6" t="s">
        <v>93</v>
      </c>
      <c r="D35" s="6" t="s">
        <v>94</v>
      </c>
      <c r="E35" s="6" t="s">
        <v>271</v>
      </c>
      <c r="H35" s="6" t="s">
        <v>166</v>
      </c>
      <c r="I35" s="6" t="s">
        <v>149</v>
      </c>
      <c r="J35" s="17" t="s">
        <v>491</v>
      </c>
      <c r="K35" s="20" t="s">
        <v>492</v>
      </c>
      <c r="L35" s="20" t="s">
        <v>493</v>
      </c>
      <c r="M35" s="22" t="s">
        <v>494</v>
      </c>
      <c r="N35" s="20" t="s">
        <v>495</v>
      </c>
      <c r="O35" s="6" t="s">
        <v>496</v>
      </c>
      <c r="P35" s="6" t="s">
        <v>145</v>
      </c>
      <c r="Q35" s="6" t="s">
        <v>165</v>
      </c>
      <c r="R35" s="26">
        <v>62030</v>
      </c>
      <c r="S35" s="6" t="s">
        <v>303</v>
      </c>
      <c r="T35" s="6" t="str">
        <f t="shared" si="1"/>
        <v>2030</v>
      </c>
      <c r="U35" s="6" t="s">
        <v>27</v>
      </c>
      <c r="V35" s="6" t="s">
        <v>27</v>
      </c>
      <c r="W35" s="6" t="s">
        <v>26</v>
      </c>
      <c r="X35" s="6" t="s">
        <v>27</v>
      </c>
      <c r="Y35" s="6" t="s">
        <v>26</v>
      </c>
      <c r="Z35" s="6" t="s">
        <v>27</v>
      </c>
      <c r="AA35" s="6">
        <v>1</v>
      </c>
      <c r="AB35" s="6" t="s">
        <v>149</v>
      </c>
      <c r="AC35" s="6" t="s">
        <v>273</v>
      </c>
      <c r="AD35" s="6" t="s">
        <v>27</v>
      </c>
      <c r="AE35" s="6" t="s">
        <v>277</v>
      </c>
      <c r="AF35" s="6" t="s">
        <v>154</v>
      </c>
      <c r="AG35" s="6" t="s">
        <v>272</v>
      </c>
      <c r="AH35" s="28" t="str">
        <f>B35&amp;","&amp;B35*100+1&amp;","&amp;B35*100+"2"</f>
        <v>2030,203001,203002</v>
      </c>
      <c r="AI35" s="28">
        <v>203000</v>
      </c>
      <c r="AJ35" s="6" t="s">
        <v>92</v>
      </c>
      <c r="AK35" s="6" t="s">
        <v>497</v>
      </c>
      <c r="AM35" s="6" t="s">
        <v>290</v>
      </c>
      <c r="AN35" s="6" t="s">
        <v>291</v>
      </c>
      <c r="AO35" s="6" t="s">
        <v>498</v>
      </c>
      <c r="AP35" s="6" t="str">
        <f t="shared" si="3"/>
        <v>2030</v>
      </c>
      <c r="AR35" s="6" t="str">
        <f t="shared" si="4"/>
        <v>2030</v>
      </c>
      <c r="AS35" s="6" t="s">
        <v>499</v>
      </c>
      <c r="AT35" s="31" t="s">
        <v>500</v>
      </c>
      <c r="AU35" s="6" t="s">
        <v>501</v>
      </c>
    </row>
    <row r="36" spans="1:47" s="6" customFormat="1" ht="57" x14ac:dyDescent="0.2">
      <c r="B36" s="6" t="s">
        <v>95</v>
      </c>
      <c r="C36" s="6" t="s">
        <v>96</v>
      </c>
      <c r="D36" s="6" t="s">
        <v>97</v>
      </c>
      <c r="E36" s="6" t="s">
        <v>271</v>
      </c>
      <c r="H36" s="6" t="s">
        <v>165</v>
      </c>
      <c r="I36" s="6" t="s">
        <v>149</v>
      </c>
      <c r="J36" s="17" t="s">
        <v>502</v>
      </c>
      <c r="K36" s="18" t="s">
        <v>503</v>
      </c>
      <c r="L36" s="21" t="s">
        <v>504</v>
      </c>
      <c r="M36" s="22" t="s">
        <v>505</v>
      </c>
      <c r="N36" s="20" t="s">
        <v>506</v>
      </c>
      <c r="O36" s="6" t="s">
        <v>507</v>
      </c>
      <c r="P36" s="6" t="s">
        <v>146</v>
      </c>
      <c r="Q36" s="6" t="s">
        <v>165</v>
      </c>
      <c r="R36" s="26">
        <v>62032</v>
      </c>
      <c r="S36" s="6" t="s">
        <v>303</v>
      </c>
      <c r="T36" s="6" t="str">
        <f t="shared" si="1"/>
        <v>2032</v>
      </c>
      <c r="U36" s="6" t="s">
        <v>27</v>
      </c>
      <c r="V36" s="6" t="s">
        <v>27</v>
      </c>
      <c r="W36" s="6" t="s">
        <v>27</v>
      </c>
      <c r="X36" s="6" t="s">
        <v>27</v>
      </c>
      <c r="Y36" s="6" t="s">
        <v>27</v>
      </c>
      <c r="Z36" s="6" t="s">
        <v>27</v>
      </c>
      <c r="AA36" s="6">
        <v>1</v>
      </c>
      <c r="AB36" s="6" t="s">
        <v>149</v>
      </c>
      <c r="AC36" s="6" t="s">
        <v>273</v>
      </c>
      <c r="AD36" s="6" t="s">
        <v>27</v>
      </c>
      <c r="AE36" s="6" t="s">
        <v>277</v>
      </c>
      <c r="AG36" s="6" t="s">
        <v>272</v>
      </c>
      <c r="AH36" s="28" t="str">
        <f>B36&amp;","&amp;B36*100+1&amp;","&amp;B36*100+"2"</f>
        <v>2032,203201,203202</v>
      </c>
      <c r="AI36" s="6">
        <v>203200</v>
      </c>
      <c r="AJ36" s="6" t="s">
        <v>95</v>
      </c>
      <c r="AK36" s="6" t="s">
        <v>275</v>
      </c>
      <c r="AM36" s="6" t="s">
        <v>290</v>
      </c>
      <c r="AN36" s="6" t="s">
        <v>291</v>
      </c>
      <c r="AO36" s="6" t="s">
        <v>508</v>
      </c>
      <c r="AP36" s="6" t="s">
        <v>95</v>
      </c>
      <c r="AR36" s="6" t="str">
        <f t="shared" si="4"/>
        <v>2032</v>
      </c>
      <c r="AS36" s="6" t="s">
        <v>509</v>
      </c>
      <c r="AT36" s="31" t="s">
        <v>510</v>
      </c>
      <c r="AU36" s="6" t="s">
        <v>511</v>
      </c>
    </row>
    <row r="37" spans="1:47" s="6" customFormat="1" ht="57.75" customHeight="1" x14ac:dyDescent="0.2">
      <c r="B37" s="6" t="s">
        <v>545</v>
      </c>
      <c r="C37" s="6" t="s">
        <v>546</v>
      </c>
      <c r="D37" s="6" t="s">
        <v>547</v>
      </c>
      <c r="E37" s="6" t="s">
        <v>271</v>
      </c>
      <c r="G37" s="6" t="s">
        <v>548</v>
      </c>
      <c r="H37" s="6" t="s">
        <v>549</v>
      </c>
      <c r="I37" s="6" t="s">
        <v>149</v>
      </c>
      <c r="J37" s="17" t="s">
        <v>550</v>
      </c>
      <c r="K37" s="22" t="s">
        <v>551</v>
      </c>
      <c r="L37" s="22" t="s">
        <v>551</v>
      </c>
      <c r="M37" s="22" t="s">
        <v>551</v>
      </c>
      <c r="N37" s="22" t="s">
        <v>551</v>
      </c>
      <c r="O37" s="22" t="s">
        <v>551</v>
      </c>
      <c r="P37" s="6" t="s">
        <v>167</v>
      </c>
      <c r="Q37" s="6" t="s">
        <v>27</v>
      </c>
      <c r="R37" s="26">
        <v>62033</v>
      </c>
      <c r="S37" s="6" t="s">
        <v>303</v>
      </c>
      <c r="T37" s="6" t="str">
        <f t="shared" si="1"/>
        <v>2033</v>
      </c>
      <c r="U37" s="6" t="s">
        <v>27</v>
      </c>
      <c r="V37" s="6" t="s">
        <v>27</v>
      </c>
      <c r="W37" s="6" t="s">
        <v>26</v>
      </c>
      <c r="X37" s="6" t="s">
        <v>71</v>
      </c>
      <c r="Y37" s="6" t="s">
        <v>26</v>
      </c>
      <c r="Z37" s="6" t="s">
        <v>27</v>
      </c>
      <c r="AA37" s="6">
        <v>1</v>
      </c>
      <c r="AB37" s="6" t="s">
        <v>149</v>
      </c>
      <c r="AC37" s="6" t="s">
        <v>273</v>
      </c>
      <c r="AD37" s="6" t="s">
        <v>27</v>
      </c>
      <c r="AE37" s="6" t="s">
        <v>277</v>
      </c>
      <c r="AF37" s="6" t="s">
        <v>146</v>
      </c>
      <c r="AG37" s="6" t="s">
        <v>272</v>
      </c>
      <c r="AH37" s="28" t="str">
        <f t="shared" ref="AH37" si="5">B37&amp;","&amp;B37*100+1&amp;","&amp;B37*100+"2"</f>
        <v>2033,203301,203302</v>
      </c>
      <c r="AJ37" s="6" t="s">
        <v>545</v>
      </c>
      <c r="AK37" s="6" t="s">
        <v>275</v>
      </c>
      <c r="AM37" s="6" t="s">
        <v>290</v>
      </c>
      <c r="AN37" s="6" t="s">
        <v>291</v>
      </c>
      <c r="AO37" s="6" t="s">
        <v>552</v>
      </c>
      <c r="AT37" s="31"/>
    </row>
    <row r="38" spans="1:47" s="6" customFormat="1" ht="57" x14ac:dyDescent="0.2">
      <c r="B38" s="6" t="s">
        <v>98</v>
      </c>
      <c r="C38" s="6" t="s">
        <v>99</v>
      </c>
      <c r="D38" s="6" t="s">
        <v>100</v>
      </c>
      <c r="E38" s="6" t="s">
        <v>271</v>
      </c>
      <c r="G38" s="6" t="s">
        <v>27</v>
      </c>
      <c r="H38" s="6" t="s">
        <v>165</v>
      </c>
      <c r="I38" s="6" t="s">
        <v>149</v>
      </c>
      <c r="J38" s="17" t="s">
        <v>512</v>
      </c>
      <c r="K38" s="21" t="s">
        <v>513</v>
      </c>
      <c r="L38" s="21" t="s">
        <v>514</v>
      </c>
      <c r="M38" s="22" t="s">
        <v>515</v>
      </c>
      <c r="N38" s="20" t="s">
        <v>516</v>
      </c>
      <c r="O38" s="6" t="s">
        <v>517</v>
      </c>
      <c r="P38" s="6" t="s">
        <v>145</v>
      </c>
      <c r="Q38" s="6" t="s">
        <v>165</v>
      </c>
      <c r="R38" s="26">
        <v>62035</v>
      </c>
      <c r="S38" s="6" t="s">
        <v>303</v>
      </c>
      <c r="T38" s="6" t="str">
        <f t="shared" si="1"/>
        <v>2035</v>
      </c>
      <c r="U38" s="6" t="s">
        <v>27</v>
      </c>
      <c r="V38" s="6" t="s">
        <v>27</v>
      </c>
      <c r="W38" s="6" t="s">
        <v>27</v>
      </c>
      <c r="X38" s="6" t="s">
        <v>27</v>
      </c>
      <c r="Y38" s="6" t="s">
        <v>27</v>
      </c>
      <c r="Z38" s="6" t="s">
        <v>27</v>
      </c>
      <c r="AA38" s="6">
        <v>1</v>
      </c>
      <c r="AB38" s="6" t="s">
        <v>149</v>
      </c>
      <c r="AC38" s="6" t="s">
        <v>273</v>
      </c>
      <c r="AD38" s="6" t="s">
        <v>27</v>
      </c>
      <c r="AE38" s="6" t="s">
        <v>277</v>
      </c>
      <c r="AG38" s="6" t="s">
        <v>272</v>
      </c>
      <c r="AH38" s="28" t="str">
        <f t="shared" ref="AH38:AH43" si="6">B38&amp;","&amp;B38*100+1&amp;","&amp;B38*100+"2"</f>
        <v>2035,203501,203502</v>
      </c>
      <c r="AI38" s="6">
        <v>203500</v>
      </c>
      <c r="AJ38" s="6" t="s">
        <v>165</v>
      </c>
      <c r="AK38" s="6" t="s">
        <v>275</v>
      </c>
      <c r="AM38" s="6" t="s">
        <v>290</v>
      </c>
      <c r="AN38" s="6" t="s">
        <v>291</v>
      </c>
      <c r="AR38" s="6" t="str">
        <f t="shared" si="4"/>
        <v>2035</v>
      </c>
      <c r="AS38" s="6" t="s">
        <v>518</v>
      </c>
      <c r="AT38" s="31" t="s">
        <v>519</v>
      </c>
      <c r="AU38" s="6" t="s">
        <v>520</v>
      </c>
    </row>
    <row r="39" spans="1:47" s="6" customFormat="1" ht="36" x14ac:dyDescent="0.2">
      <c r="B39" s="6" t="s">
        <v>101</v>
      </c>
      <c r="C39" s="6" t="s">
        <v>102</v>
      </c>
      <c r="D39" s="6" t="s">
        <v>103</v>
      </c>
      <c r="E39" s="6" t="s">
        <v>271</v>
      </c>
      <c r="G39" s="6" t="s">
        <v>27</v>
      </c>
      <c r="H39" s="6" t="s">
        <v>165</v>
      </c>
      <c r="I39" s="6" t="s">
        <v>149</v>
      </c>
      <c r="J39" s="17" t="s">
        <v>521</v>
      </c>
      <c r="K39" s="21" t="s">
        <v>522</v>
      </c>
      <c r="L39" s="21" t="s">
        <v>523</v>
      </c>
      <c r="M39" s="21" t="s">
        <v>524</v>
      </c>
      <c r="N39" s="20" t="s">
        <v>553</v>
      </c>
      <c r="O39" s="6" t="s">
        <v>526</v>
      </c>
      <c r="P39" s="6" t="s">
        <v>167</v>
      </c>
      <c r="Q39" s="6" t="s">
        <v>27</v>
      </c>
      <c r="R39" s="26"/>
      <c r="T39" s="6" t="str">
        <f>B39</f>
        <v>2038</v>
      </c>
      <c r="U39" s="6" t="s">
        <v>27</v>
      </c>
      <c r="V39" s="6" t="s">
        <v>27</v>
      </c>
      <c r="W39" s="6" t="s">
        <v>441</v>
      </c>
      <c r="X39" s="6" t="s">
        <v>71</v>
      </c>
      <c r="Y39" s="6" t="s">
        <v>26</v>
      </c>
      <c r="Z39" s="6" t="s">
        <v>27</v>
      </c>
      <c r="AA39" s="6" t="s">
        <v>27</v>
      </c>
      <c r="AB39" s="6" t="s">
        <v>149</v>
      </c>
      <c r="AC39" s="6" t="s">
        <v>273</v>
      </c>
      <c r="AD39" s="6" t="s">
        <v>27</v>
      </c>
      <c r="AE39" s="6" t="s">
        <v>277</v>
      </c>
      <c r="AG39" s="6" t="s">
        <v>272</v>
      </c>
      <c r="AH39" s="28" t="str">
        <f t="shared" si="6"/>
        <v>2038,203801,203802</v>
      </c>
      <c r="AI39" s="28"/>
      <c r="AJ39" s="6" t="s">
        <v>442</v>
      </c>
      <c r="AK39" s="6" t="s">
        <v>275</v>
      </c>
      <c r="AM39" s="6" t="s">
        <v>290</v>
      </c>
      <c r="AN39" s="6" t="s">
        <v>291</v>
      </c>
      <c r="AT39" s="31"/>
    </row>
    <row r="40" spans="1:47" s="6" customFormat="1" ht="36" x14ac:dyDescent="0.2">
      <c r="B40" s="6" t="s">
        <v>104</v>
      </c>
      <c r="C40" s="6" t="s">
        <v>105</v>
      </c>
      <c r="D40" s="6" t="s">
        <v>106</v>
      </c>
      <c r="E40" s="6" t="s">
        <v>271</v>
      </c>
      <c r="G40" s="6" t="s">
        <v>27</v>
      </c>
      <c r="H40" s="6" t="s">
        <v>562</v>
      </c>
      <c r="I40" s="6" t="s">
        <v>149</v>
      </c>
      <c r="J40" s="17" t="s">
        <v>527</v>
      </c>
      <c r="K40" s="21" t="s">
        <v>522</v>
      </c>
      <c r="L40" s="21" t="s">
        <v>523</v>
      </c>
      <c r="M40" s="21" t="s">
        <v>524</v>
      </c>
      <c r="N40" s="20" t="s">
        <v>525</v>
      </c>
      <c r="O40" s="6" t="s">
        <v>526</v>
      </c>
      <c r="P40" s="6" t="s">
        <v>145</v>
      </c>
      <c r="Q40" s="6" t="s">
        <v>27</v>
      </c>
      <c r="R40" s="26"/>
      <c r="T40" s="6" t="str">
        <f>B40</f>
        <v>2040</v>
      </c>
      <c r="U40" s="6" t="s">
        <v>27</v>
      </c>
      <c r="V40" s="6" t="s">
        <v>27</v>
      </c>
      <c r="W40" s="6" t="s">
        <v>441</v>
      </c>
      <c r="X40" s="6" t="s">
        <v>71</v>
      </c>
      <c r="Y40" s="6" t="s">
        <v>26</v>
      </c>
      <c r="Z40" s="6" t="s">
        <v>27</v>
      </c>
      <c r="AA40" s="6" t="s">
        <v>27</v>
      </c>
      <c r="AB40" s="6" t="s">
        <v>149</v>
      </c>
      <c r="AC40" s="6" t="s">
        <v>273</v>
      </c>
      <c r="AD40" s="6" t="s">
        <v>27</v>
      </c>
      <c r="AE40" s="6" t="s">
        <v>277</v>
      </c>
      <c r="AG40" s="6" t="s">
        <v>272</v>
      </c>
      <c r="AH40" s="28" t="str">
        <f t="shared" si="6"/>
        <v>2040,204001,204002</v>
      </c>
      <c r="AI40" s="28"/>
      <c r="AJ40" s="6" t="s">
        <v>104</v>
      </c>
      <c r="AK40" s="6" t="s">
        <v>275</v>
      </c>
      <c r="AL40" s="6" t="s">
        <v>528</v>
      </c>
      <c r="AM40" s="6" t="s">
        <v>290</v>
      </c>
      <c r="AN40" s="6" t="s">
        <v>291</v>
      </c>
      <c r="AR40" s="6" t="s">
        <v>104</v>
      </c>
      <c r="AT40" s="31"/>
    </row>
    <row r="41" spans="1:47" s="6" customFormat="1" ht="57" x14ac:dyDescent="0.2">
      <c r="B41" s="6" t="s">
        <v>107</v>
      </c>
      <c r="C41" s="6" t="s">
        <v>108</v>
      </c>
      <c r="D41" s="6" t="s">
        <v>109</v>
      </c>
      <c r="E41" s="6" t="s">
        <v>271</v>
      </c>
      <c r="H41" s="6" t="s">
        <v>166</v>
      </c>
      <c r="I41" s="6" t="s">
        <v>149</v>
      </c>
      <c r="J41" s="17" t="s">
        <v>529</v>
      </c>
      <c r="K41" s="21" t="s">
        <v>522</v>
      </c>
      <c r="L41" s="21" t="s">
        <v>523</v>
      </c>
      <c r="M41" s="21" t="s">
        <v>524</v>
      </c>
      <c r="N41" s="20" t="s">
        <v>525</v>
      </c>
      <c r="O41" s="6" t="s">
        <v>526</v>
      </c>
      <c r="P41" s="6" t="s">
        <v>27</v>
      </c>
      <c r="Q41" s="6" t="s">
        <v>165</v>
      </c>
      <c r="R41" s="26">
        <v>62046</v>
      </c>
      <c r="S41" s="6" t="s">
        <v>303</v>
      </c>
      <c r="T41" s="6" t="str">
        <f t="shared" si="1"/>
        <v>2046</v>
      </c>
      <c r="U41" s="6" t="s">
        <v>27</v>
      </c>
      <c r="V41" s="6" t="s">
        <v>27</v>
      </c>
      <c r="W41" s="6" t="s">
        <v>27</v>
      </c>
      <c r="X41" s="6" t="s">
        <v>27</v>
      </c>
      <c r="Y41" s="6" t="s">
        <v>27</v>
      </c>
      <c r="Z41" s="6">
        <v>1</v>
      </c>
      <c r="AA41" s="6">
        <v>1</v>
      </c>
      <c r="AB41" s="6" t="s">
        <v>149</v>
      </c>
      <c r="AC41" s="6" t="s">
        <v>273</v>
      </c>
      <c r="AD41" s="6" t="s">
        <v>27</v>
      </c>
      <c r="AE41" s="6" t="s">
        <v>277</v>
      </c>
      <c r="AF41" s="6" t="s">
        <v>155</v>
      </c>
      <c r="AG41" s="6" t="s">
        <v>272</v>
      </c>
      <c r="AH41" s="28" t="str">
        <f t="shared" si="6"/>
        <v>2046,204601,204602</v>
      </c>
      <c r="AI41" s="6" t="s">
        <v>530</v>
      </c>
      <c r="AJ41" s="6" t="s">
        <v>531</v>
      </c>
      <c r="AK41" s="6" t="s">
        <v>532</v>
      </c>
      <c r="AM41" s="6" t="s">
        <v>290</v>
      </c>
      <c r="AN41" s="6" t="s">
        <v>291</v>
      </c>
      <c r="AO41" s="6" t="s">
        <v>533</v>
      </c>
      <c r="AP41" s="6" t="str">
        <f>B41</f>
        <v>2046</v>
      </c>
      <c r="AR41" s="6" t="str">
        <f t="shared" si="4"/>
        <v>2046</v>
      </c>
      <c r="AS41" s="6" t="s">
        <v>534</v>
      </c>
      <c r="AT41" s="31" t="s">
        <v>535</v>
      </c>
      <c r="AU41" s="6" t="s">
        <v>536</v>
      </c>
    </row>
    <row r="42" spans="1:47" s="6" customFormat="1" ht="36" x14ac:dyDescent="0.2">
      <c r="B42" s="6" t="s">
        <v>542</v>
      </c>
      <c r="C42" s="6" t="s">
        <v>543</v>
      </c>
      <c r="D42" s="6" t="s">
        <v>544</v>
      </c>
      <c r="E42" s="6" t="s">
        <v>271</v>
      </c>
      <c r="G42" s="6" t="s">
        <v>27</v>
      </c>
      <c r="H42" s="6" t="s">
        <v>27</v>
      </c>
      <c r="I42" s="6" t="s">
        <v>149</v>
      </c>
      <c r="J42" s="17" t="s">
        <v>537</v>
      </c>
      <c r="K42" s="21" t="s">
        <v>522</v>
      </c>
      <c r="L42" s="21" t="s">
        <v>523</v>
      </c>
      <c r="M42" s="21" t="s">
        <v>524</v>
      </c>
      <c r="N42" s="20" t="s">
        <v>525</v>
      </c>
      <c r="O42" s="6" t="s">
        <v>526</v>
      </c>
      <c r="P42" s="6" t="s">
        <v>49</v>
      </c>
      <c r="Q42" s="6" t="s">
        <v>145</v>
      </c>
      <c r="R42" s="26"/>
      <c r="T42" s="6" t="s">
        <v>542</v>
      </c>
      <c r="U42" s="6" t="s">
        <v>27</v>
      </c>
      <c r="V42" s="6" t="s">
        <v>27</v>
      </c>
      <c r="W42" s="6" t="s">
        <v>27</v>
      </c>
      <c r="X42" s="6" t="s">
        <v>27</v>
      </c>
      <c r="Y42" s="6" t="s">
        <v>27</v>
      </c>
      <c r="Z42" s="6" t="s">
        <v>27</v>
      </c>
      <c r="AA42" s="6" t="s">
        <v>27</v>
      </c>
      <c r="AB42" s="6" t="s">
        <v>149</v>
      </c>
      <c r="AC42" s="6" t="s">
        <v>273</v>
      </c>
      <c r="AD42" s="6" t="s">
        <v>27</v>
      </c>
      <c r="AE42" s="6" t="s">
        <v>277</v>
      </c>
      <c r="AG42" s="6" t="s">
        <v>272</v>
      </c>
      <c r="AH42" s="28" t="str">
        <f t="shared" si="6"/>
        <v>2050,205001,205002</v>
      </c>
      <c r="AJ42" s="6" t="s">
        <v>27</v>
      </c>
      <c r="AK42" s="6" t="s">
        <v>275</v>
      </c>
      <c r="AM42" s="6" t="s">
        <v>290</v>
      </c>
      <c r="AN42" s="6" t="s">
        <v>291</v>
      </c>
      <c r="AP42" s="6" t="s">
        <v>542</v>
      </c>
      <c r="AR42" s="6" t="s">
        <v>542</v>
      </c>
      <c r="AT42" s="31"/>
    </row>
    <row r="43" spans="1:47" s="6" customFormat="1" ht="71.25" x14ac:dyDescent="0.2">
      <c r="B43" s="6" t="s">
        <v>110</v>
      </c>
      <c r="C43" s="6" t="s">
        <v>111</v>
      </c>
      <c r="D43" s="6" t="s">
        <v>112</v>
      </c>
      <c r="E43" s="6" t="s">
        <v>271</v>
      </c>
      <c r="G43" s="6" t="s">
        <v>27</v>
      </c>
      <c r="H43" s="6" t="s">
        <v>27</v>
      </c>
      <c r="I43" s="6" t="s">
        <v>149</v>
      </c>
      <c r="J43" s="17" t="s">
        <v>537</v>
      </c>
      <c r="K43" s="21" t="s">
        <v>522</v>
      </c>
      <c r="L43" s="21" t="s">
        <v>523</v>
      </c>
      <c r="M43" s="21" t="s">
        <v>524</v>
      </c>
      <c r="N43" s="20" t="s">
        <v>525</v>
      </c>
      <c r="O43" s="6" t="s">
        <v>526</v>
      </c>
      <c r="P43" s="6" t="s">
        <v>166</v>
      </c>
      <c r="Q43" s="6" t="s">
        <v>165</v>
      </c>
      <c r="R43" s="26">
        <v>62052</v>
      </c>
      <c r="S43" s="6" t="s">
        <v>303</v>
      </c>
      <c r="T43" s="6" t="str">
        <f>B43</f>
        <v>2052</v>
      </c>
      <c r="U43" s="6" t="s">
        <v>27</v>
      </c>
      <c r="V43" s="6" t="s">
        <v>27</v>
      </c>
      <c r="W43" s="6" t="s">
        <v>27</v>
      </c>
      <c r="X43" s="6" t="s">
        <v>27</v>
      </c>
      <c r="Y43" s="6" t="s">
        <v>27</v>
      </c>
      <c r="Z43" s="6">
        <v>1</v>
      </c>
      <c r="AA43" s="6">
        <v>1</v>
      </c>
      <c r="AB43" s="6" t="s">
        <v>149</v>
      </c>
      <c r="AC43" s="6" t="s">
        <v>273</v>
      </c>
      <c r="AD43" s="6" t="s">
        <v>27</v>
      </c>
      <c r="AE43" s="6" t="s">
        <v>277</v>
      </c>
      <c r="AG43" s="6" t="s">
        <v>272</v>
      </c>
      <c r="AH43" s="28" t="str">
        <f t="shared" si="6"/>
        <v>2052,205201,205202</v>
      </c>
      <c r="AJ43" s="6" t="s">
        <v>27</v>
      </c>
      <c r="AK43" s="6" t="s">
        <v>538</v>
      </c>
      <c r="AM43" s="6" t="s">
        <v>290</v>
      </c>
      <c r="AN43" s="6" t="s">
        <v>291</v>
      </c>
      <c r="AO43" s="6" t="s">
        <v>539</v>
      </c>
      <c r="AP43" s="6" t="str">
        <f>B43</f>
        <v>2052</v>
      </c>
      <c r="AR43" s="6" t="str">
        <f>B43</f>
        <v>2052</v>
      </c>
      <c r="AS43" s="6" t="s">
        <v>534</v>
      </c>
      <c r="AT43" s="35" t="s">
        <v>540</v>
      </c>
      <c r="AU43" s="6" t="s">
        <v>541</v>
      </c>
    </row>
  </sheetData>
  <phoneticPr fontId="0" type="noConversion"/>
  <conditionalFormatting sqref="C6">
    <cfRule type="cellIs" dxfId="432" priority="345" stopIfTrue="1" operator="notEqual">
      <formula>INDIRECT("Dummy_for_Comparison1!"&amp;ADDRESS(ROW(),COLUMN()))</formula>
    </cfRule>
  </conditionalFormatting>
  <conditionalFormatting sqref="D6">
    <cfRule type="cellIs" dxfId="431" priority="358" stopIfTrue="1" operator="notEqual">
      <formula>INDIRECT("Dummy_for_Comparison1!"&amp;ADDRESS(ROW(),COLUMN()))</formula>
    </cfRule>
  </conditionalFormatting>
  <conditionalFormatting sqref="N6:O6">
    <cfRule type="cellIs" dxfId="430" priority="346" stopIfTrue="1" operator="notEqual">
      <formula>INDIRECT("Dummy_for_Comparison1!"&amp;ADDRESS(ROW(),COLUMN()))</formula>
    </cfRule>
  </conditionalFormatting>
  <conditionalFormatting sqref="P6:Q6">
    <cfRule type="cellIs" dxfId="429" priority="313" stopIfTrue="1" operator="notEqual">
      <formula>INDIRECT("Dummy_for_Comparison1!"&amp;ADDRESS(ROW(),COLUMN()))</formula>
    </cfRule>
  </conditionalFormatting>
  <conditionalFormatting sqref="R6">
    <cfRule type="cellIs" dxfId="428" priority="347" stopIfTrue="1" operator="notEqual">
      <formula>INDIRECT("Dummy_for_Comparison1!"&amp;ADDRESS(ROW(),COLUMN()))</formula>
    </cfRule>
  </conditionalFormatting>
  <conditionalFormatting sqref="T6:V6">
    <cfRule type="cellIs" dxfId="427" priority="356" stopIfTrue="1" operator="notEqual">
      <formula>INDIRECT("Dummy_for_Comparison1!"&amp;ADDRESS(ROW(),COLUMN()))</formula>
    </cfRule>
  </conditionalFormatting>
  <conditionalFormatting sqref="W6">
    <cfRule type="cellIs" dxfId="426" priority="351" stopIfTrue="1" operator="notEqual">
      <formula>INDIRECT("Dummy_for_Comparison1!"&amp;ADDRESS(ROW(),COLUMN()))</formula>
    </cfRule>
  </conditionalFormatting>
  <conditionalFormatting sqref="X6">
    <cfRule type="cellIs" dxfId="425" priority="350" stopIfTrue="1" operator="notEqual">
      <formula>INDIRECT("Dummy_for_Comparison1!"&amp;ADDRESS(ROW(),COLUMN()))</formula>
    </cfRule>
  </conditionalFormatting>
  <conditionalFormatting sqref="Y6:AA6">
    <cfRule type="cellIs" dxfId="424" priority="352" stopIfTrue="1" operator="notEqual">
      <formula>INDIRECT("Dummy_for_Comparison1!"&amp;ADDRESS(ROW(),COLUMN()))</formula>
    </cfRule>
  </conditionalFormatting>
  <conditionalFormatting sqref="AB6:AC6">
    <cfRule type="cellIs" dxfId="423" priority="355" stopIfTrue="1" operator="notEqual">
      <formula>INDIRECT("Dummy_for_Comparison1!"&amp;ADDRESS(ROW(),COLUMN()))</formula>
    </cfRule>
  </conditionalFormatting>
  <conditionalFormatting sqref="AK6">
    <cfRule type="cellIs" dxfId="422" priority="140" stopIfTrue="1" operator="notEqual">
      <formula>INDIRECT("Dummy_for_Comparison1!"&amp;ADDRESS(ROW(),COLUMN()))</formula>
    </cfRule>
  </conditionalFormatting>
  <conditionalFormatting sqref="AP6">
    <cfRule type="cellIs" dxfId="421" priority="349" stopIfTrue="1" operator="notEqual">
      <formula>INDIRECT("Dummy_for_Comparison1!"&amp;ADDRESS(ROW(),COLUMN()))</formula>
    </cfRule>
  </conditionalFormatting>
  <conditionalFormatting sqref="AQ6">
    <cfRule type="cellIs" dxfId="420" priority="357" stopIfTrue="1" operator="notEqual">
      <formula>INDIRECT("Dummy_for_Comparison1!"&amp;ADDRESS(ROW(),COLUMN()))</formula>
    </cfRule>
  </conditionalFormatting>
  <conditionalFormatting sqref="AR6">
    <cfRule type="cellIs" dxfId="419" priority="348" stopIfTrue="1" operator="notEqual">
      <formula>INDIRECT("Dummy_for_Comparison1!"&amp;ADDRESS(ROW(),COLUMN()))</formula>
    </cfRule>
  </conditionalFormatting>
  <conditionalFormatting sqref="AT6">
    <cfRule type="cellIs" dxfId="418" priority="111" stopIfTrue="1" operator="notEqual">
      <formula>INDIRECT("Dummy_for_Comparison1!"&amp;ADDRESS(ROW(),COLUMN()))</formula>
    </cfRule>
  </conditionalFormatting>
  <conditionalFormatting sqref="AU6">
    <cfRule type="cellIs" dxfId="417" priority="112" stopIfTrue="1" operator="notEqual">
      <formula>INDIRECT("Dummy_for_Comparison1!"&amp;ADDRESS(ROW(),COLUMN()))</formula>
    </cfRule>
  </conditionalFormatting>
  <conditionalFormatting sqref="B7">
    <cfRule type="cellIs" dxfId="416" priority="392" stopIfTrue="1" operator="notEqual">
      <formula>INDIRECT("Dummy_for_Comparison1!"&amp;ADDRESS(ROW(),COLUMN()))</formula>
    </cfRule>
  </conditionalFormatting>
  <conditionalFormatting sqref="C7">
    <cfRule type="cellIs" dxfId="415" priority="378" stopIfTrue="1" operator="notEqual">
      <formula>INDIRECT("Dummy_for_Comparison1!"&amp;ADDRESS(ROW(),COLUMN()))</formula>
    </cfRule>
  </conditionalFormatting>
  <conditionalFormatting sqref="D7">
    <cfRule type="cellIs" dxfId="414" priority="391" stopIfTrue="1" operator="notEqual">
      <formula>INDIRECT("Dummy_for_Comparison1!"&amp;ADDRESS(ROW(),COLUMN()))</formula>
    </cfRule>
  </conditionalFormatting>
  <conditionalFormatting sqref="N7:O7">
    <cfRule type="cellIs" dxfId="413" priority="379" stopIfTrue="1" operator="notEqual">
      <formula>INDIRECT("Dummy_for_Comparison1!"&amp;ADDRESS(ROW(),COLUMN()))</formula>
    </cfRule>
  </conditionalFormatting>
  <conditionalFormatting sqref="P7:Q7">
    <cfRule type="cellIs" dxfId="412" priority="314" stopIfTrue="1" operator="notEqual">
      <formula>INDIRECT("Dummy_for_Comparison1!"&amp;ADDRESS(ROW(),COLUMN()))</formula>
    </cfRule>
  </conditionalFormatting>
  <conditionalFormatting sqref="R7">
    <cfRule type="cellIs" dxfId="411" priority="380" stopIfTrue="1" operator="notEqual">
      <formula>INDIRECT("Dummy_for_Comparison1!"&amp;ADDRESS(ROW(),COLUMN()))</formula>
    </cfRule>
  </conditionalFormatting>
  <conditionalFormatting sqref="T7:V7">
    <cfRule type="cellIs" dxfId="410" priority="389" stopIfTrue="1" operator="notEqual">
      <formula>INDIRECT("Dummy_for_Comparison1!"&amp;ADDRESS(ROW(),COLUMN()))</formula>
    </cfRule>
  </conditionalFormatting>
  <conditionalFormatting sqref="W7">
    <cfRule type="cellIs" dxfId="409" priority="384" stopIfTrue="1" operator="notEqual">
      <formula>INDIRECT("Dummy_for_Comparison1!"&amp;ADDRESS(ROW(),COLUMN()))</formula>
    </cfRule>
  </conditionalFormatting>
  <conditionalFormatting sqref="X7">
    <cfRule type="cellIs" dxfId="408" priority="383" stopIfTrue="1" operator="notEqual">
      <formula>INDIRECT("Dummy_for_Comparison1!"&amp;ADDRESS(ROW(),COLUMN()))</formula>
    </cfRule>
  </conditionalFormatting>
  <conditionalFormatting sqref="Y7:AA7">
    <cfRule type="cellIs" dxfId="407" priority="385" stopIfTrue="1" operator="notEqual">
      <formula>INDIRECT("Dummy_for_Comparison1!"&amp;ADDRESS(ROW(),COLUMN()))</formula>
    </cfRule>
  </conditionalFormatting>
  <conditionalFormatting sqref="AF7">
    <cfRule type="cellIs" dxfId="406" priority="386" stopIfTrue="1" operator="notEqual">
      <formula>INDIRECT("Dummy_for_Comparison1!"&amp;ADDRESS(ROW(),COLUMN()))</formula>
    </cfRule>
  </conditionalFormatting>
  <conditionalFormatting sqref="AK7">
    <cfRule type="cellIs" dxfId="405" priority="139" stopIfTrue="1" operator="notEqual">
      <formula>INDIRECT("Dummy_for_Comparison1!"&amp;ADDRESS(ROW(),COLUMN()))</formula>
    </cfRule>
  </conditionalFormatting>
  <conditionalFormatting sqref="AP7">
    <cfRule type="cellIs" dxfId="404" priority="382" stopIfTrue="1" operator="notEqual">
      <formula>INDIRECT("Dummy_for_Comparison1!"&amp;ADDRESS(ROW(),COLUMN()))</formula>
    </cfRule>
  </conditionalFormatting>
  <conditionalFormatting sqref="AQ7">
    <cfRule type="cellIs" dxfId="403" priority="390" stopIfTrue="1" operator="notEqual">
      <formula>INDIRECT("Dummy_for_Comparison1!"&amp;ADDRESS(ROW(),COLUMN()))</formula>
    </cfRule>
  </conditionalFormatting>
  <conditionalFormatting sqref="AR7">
    <cfRule type="cellIs" dxfId="402" priority="381" stopIfTrue="1" operator="notEqual">
      <formula>INDIRECT("Dummy_for_Comparison1!"&amp;ADDRESS(ROW(),COLUMN()))</formula>
    </cfRule>
  </conditionalFormatting>
  <conditionalFormatting sqref="B8">
    <cfRule type="cellIs" dxfId="401" priority="188" stopIfTrue="1" operator="notEqual">
      <formula>INDIRECT("Dummy_for_Comparison1!"&amp;ADDRESS(ROW(),COLUMN()))</formula>
    </cfRule>
  </conditionalFormatting>
  <conditionalFormatting sqref="C8">
    <cfRule type="cellIs" dxfId="400" priority="174" stopIfTrue="1" operator="notEqual">
      <formula>INDIRECT("Dummy_for_Comparison1!"&amp;ADDRESS(ROW(),COLUMN()))</formula>
    </cfRule>
  </conditionalFormatting>
  <conditionalFormatting sqref="D8">
    <cfRule type="cellIs" dxfId="399" priority="187" stopIfTrue="1" operator="notEqual">
      <formula>INDIRECT("Dummy_for_Comparison1!"&amp;ADDRESS(ROW(),COLUMN()))</formula>
    </cfRule>
  </conditionalFormatting>
  <conditionalFormatting sqref="N8:O8">
    <cfRule type="cellIs" dxfId="398" priority="175" stopIfTrue="1" operator="notEqual">
      <formula>INDIRECT("Dummy_for_Comparison1!"&amp;ADDRESS(ROW(),COLUMN()))</formula>
    </cfRule>
  </conditionalFormatting>
  <conditionalFormatting sqref="P8:Q8">
    <cfRule type="cellIs" dxfId="397" priority="172" stopIfTrue="1" operator="notEqual">
      <formula>INDIRECT("Dummy_for_Comparison1!"&amp;ADDRESS(ROW(),COLUMN()))</formula>
    </cfRule>
  </conditionalFormatting>
  <conditionalFormatting sqref="R8">
    <cfRule type="cellIs" dxfId="396" priority="176" stopIfTrue="1" operator="notEqual">
      <formula>INDIRECT("Dummy_for_Comparison1!"&amp;ADDRESS(ROW(),COLUMN()))</formula>
    </cfRule>
  </conditionalFormatting>
  <conditionalFormatting sqref="T8:V8">
    <cfRule type="cellIs" dxfId="395" priority="185" stopIfTrue="1" operator="notEqual">
      <formula>INDIRECT("Dummy_for_Comparison1!"&amp;ADDRESS(ROW(),COLUMN()))</formula>
    </cfRule>
  </conditionalFormatting>
  <conditionalFormatting sqref="W8">
    <cfRule type="cellIs" dxfId="394" priority="180" stopIfTrue="1" operator="notEqual">
      <formula>INDIRECT("Dummy_for_Comparison1!"&amp;ADDRESS(ROW(),COLUMN()))</formula>
    </cfRule>
  </conditionalFormatting>
  <conditionalFormatting sqref="X8">
    <cfRule type="cellIs" dxfId="393" priority="179" stopIfTrue="1" operator="notEqual">
      <formula>INDIRECT("Dummy_for_Comparison1!"&amp;ADDRESS(ROW(),COLUMN()))</formula>
    </cfRule>
  </conditionalFormatting>
  <conditionalFormatting sqref="Y8:AA8">
    <cfRule type="cellIs" dxfId="392" priority="181" stopIfTrue="1" operator="notEqual">
      <formula>INDIRECT("Dummy_for_Comparison1!"&amp;ADDRESS(ROW(),COLUMN()))</formula>
    </cfRule>
  </conditionalFormatting>
  <conditionalFormatting sqref="AB8:AC8">
    <cfRule type="cellIs" dxfId="391" priority="184" stopIfTrue="1" operator="notEqual">
      <formula>INDIRECT("Dummy_for_Comparison1!"&amp;ADDRESS(ROW(),COLUMN()))</formula>
    </cfRule>
  </conditionalFormatting>
  <conditionalFormatting sqref="AD8:AF8">
    <cfRule type="cellIs" dxfId="390" priority="183" stopIfTrue="1" operator="notEqual">
      <formula>INDIRECT("Dummy_for_Comparison1!"&amp;ADDRESS(ROW(),COLUMN()))</formula>
    </cfRule>
  </conditionalFormatting>
  <conditionalFormatting sqref="AF8">
    <cfRule type="cellIs" dxfId="389" priority="182" stopIfTrue="1" operator="notEqual">
      <formula>INDIRECT("Dummy_for_Comparison1!"&amp;ADDRESS(ROW(),COLUMN()))</formula>
    </cfRule>
  </conditionalFormatting>
  <conditionalFormatting sqref="AK8">
    <cfRule type="cellIs" dxfId="388" priority="136" stopIfTrue="1" operator="notEqual">
      <formula>INDIRECT("Dummy_for_Comparison1!"&amp;ADDRESS(ROW(),COLUMN()))</formula>
    </cfRule>
  </conditionalFormatting>
  <conditionalFormatting sqref="AP8">
    <cfRule type="cellIs" dxfId="387" priority="178" stopIfTrue="1" operator="notEqual">
      <formula>INDIRECT("Dummy_for_Comparison1!"&amp;ADDRESS(ROW(),COLUMN()))</formula>
    </cfRule>
  </conditionalFormatting>
  <conditionalFormatting sqref="AQ8">
    <cfRule type="cellIs" dxfId="386" priority="186" stopIfTrue="1" operator="notEqual">
      <formula>INDIRECT("Dummy_for_Comparison1!"&amp;ADDRESS(ROW(),COLUMN()))</formula>
    </cfRule>
  </conditionalFormatting>
  <conditionalFormatting sqref="AR8">
    <cfRule type="cellIs" dxfId="385" priority="177" stopIfTrue="1" operator="notEqual">
      <formula>INDIRECT("Dummy_for_Comparison1!"&amp;ADDRESS(ROW(),COLUMN()))</formula>
    </cfRule>
  </conditionalFormatting>
  <conditionalFormatting sqref="B9">
    <cfRule type="cellIs" dxfId="384" priority="204" stopIfTrue="1" operator="notEqual">
      <formula>INDIRECT("Dummy_for_Comparison1!"&amp;ADDRESS(ROW(),COLUMN()))</formula>
    </cfRule>
  </conditionalFormatting>
  <conditionalFormatting sqref="C9">
    <cfRule type="cellIs" dxfId="383" priority="190" stopIfTrue="1" operator="notEqual">
      <formula>INDIRECT("Dummy_for_Comparison1!"&amp;ADDRESS(ROW(),COLUMN()))</formula>
    </cfRule>
  </conditionalFormatting>
  <conditionalFormatting sqref="D9">
    <cfRule type="cellIs" dxfId="382" priority="203" stopIfTrue="1" operator="notEqual">
      <formula>INDIRECT("Dummy_for_Comparison1!"&amp;ADDRESS(ROW(),COLUMN()))</formula>
    </cfRule>
  </conditionalFormatting>
  <conditionalFormatting sqref="N9:O9">
    <cfRule type="cellIs" dxfId="381" priority="191" stopIfTrue="1" operator="notEqual">
      <formula>INDIRECT("Dummy_for_Comparison1!"&amp;ADDRESS(ROW(),COLUMN()))</formula>
    </cfRule>
  </conditionalFormatting>
  <conditionalFormatting sqref="P9:Q9">
    <cfRule type="cellIs" dxfId="380" priority="173" stopIfTrue="1" operator="notEqual">
      <formula>INDIRECT("Dummy_for_Comparison1!"&amp;ADDRESS(ROW(),COLUMN()))</formula>
    </cfRule>
  </conditionalFormatting>
  <conditionalFormatting sqref="R9">
    <cfRule type="cellIs" dxfId="379" priority="192" stopIfTrue="1" operator="notEqual">
      <formula>INDIRECT("Dummy_for_Comparison1!"&amp;ADDRESS(ROW(),COLUMN()))</formula>
    </cfRule>
  </conditionalFormatting>
  <conditionalFormatting sqref="T9:V9">
    <cfRule type="cellIs" dxfId="378" priority="201" stopIfTrue="1" operator="notEqual">
      <formula>INDIRECT("Dummy_for_Comparison1!"&amp;ADDRESS(ROW(),COLUMN()))</formula>
    </cfRule>
  </conditionalFormatting>
  <conditionalFormatting sqref="W9">
    <cfRule type="cellIs" dxfId="377" priority="196" stopIfTrue="1" operator="notEqual">
      <formula>INDIRECT("Dummy_for_Comparison1!"&amp;ADDRESS(ROW(),COLUMN()))</formula>
    </cfRule>
  </conditionalFormatting>
  <conditionalFormatting sqref="X9">
    <cfRule type="cellIs" dxfId="376" priority="195" stopIfTrue="1" operator="notEqual">
      <formula>INDIRECT("Dummy_for_Comparison1!"&amp;ADDRESS(ROW(),COLUMN()))</formula>
    </cfRule>
  </conditionalFormatting>
  <conditionalFormatting sqref="Y9:AA9">
    <cfRule type="cellIs" dxfId="375" priority="197" stopIfTrue="1" operator="notEqual">
      <formula>INDIRECT("Dummy_for_Comparison1!"&amp;ADDRESS(ROW(),COLUMN()))</formula>
    </cfRule>
  </conditionalFormatting>
  <conditionalFormatting sqref="AB9:AC9">
    <cfRule type="cellIs" dxfId="374" priority="200" stopIfTrue="1" operator="notEqual">
      <formula>INDIRECT("Dummy_for_Comparison1!"&amp;ADDRESS(ROW(),COLUMN()))</formula>
    </cfRule>
  </conditionalFormatting>
  <conditionalFormatting sqref="AC9">
    <cfRule type="cellIs" dxfId="373" priority="206" stopIfTrue="1" operator="notEqual">
      <formula>INDIRECT("Dummy_for_Comparison1!"&amp;ADDRESS(ROW(),COLUMN()))</formula>
    </cfRule>
  </conditionalFormatting>
  <conditionalFormatting sqref="AD9:AF9">
    <cfRule type="cellIs" dxfId="372" priority="199" stopIfTrue="1" operator="notEqual">
      <formula>INDIRECT("Dummy_for_Comparison1!"&amp;ADDRESS(ROW(),COLUMN()))</formula>
    </cfRule>
  </conditionalFormatting>
  <conditionalFormatting sqref="AF9">
    <cfRule type="cellIs" dxfId="371" priority="198" stopIfTrue="1" operator="notEqual">
      <formula>INDIRECT("Dummy_for_Comparison1!"&amp;ADDRESS(ROW(),COLUMN()))</formula>
    </cfRule>
  </conditionalFormatting>
  <conditionalFormatting sqref="AK9">
    <cfRule type="cellIs" dxfId="370" priority="135" stopIfTrue="1" operator="notEqual">
      <formula>INDIRECT("Dummy_for_Comparison1!"&amp;ADDRESS(ROW(),COLUMN()))</formula>
    </cfRule>
  </conditionalFormatting>
  <conditionalFormatting sqref="AP9">
    <cfRule type="cellIs" dxfId="369" priority="194" stopIfTrue="1" operator="notEqual">
      <formula>INDIRECT("Dummy_for_Comparison1!"&amp;ADDRESS(ROW(),COLUMN()))</formula>
    </cfRule>
  </conditionalFormatting>
  <conditionalFormatting sqref="AQ9">
    <cfRule type="cellIs" dxfId="368" priority="202" stopIfTrue="1" operator="notEqual">
      <formula>INDIRECT("Dummy_for_Comparison1!"&amp;ADDRESS(ROW(),COLUMN()))</formula>
    </cfRule>
  </conditionalFormatting>
  <conditionalFormatting sqref="AR9">
    <cfRule type="cellIs" dxfId="367" priority="193" stopIfTrue="1" operator="notEqual">
      <formula>INDIRECT("Dummy_for_Comparison1!"&amp;ADDRESS(ROW(),COLUMN()))</formula>
    </cfRule>
  </conditionalFormatting>
  <conditionalFormatting sqref="B11">
    <cfRule type="cellIs" dxfId="366" priority="130" stopIfTrue="1" operator="notEqual">
      <formula>INDIRECT("Dummy_for_Comparison1!"&amp;ADDRESS(ROW(),COLUMN()))</formula>
    </cfRule>
  </conditionalFormatting>
  <conditionalFormatting sqref="C11">
    <cfRule type="cellIs" dxfId="365" priority="116" stopIfTrue="1" operator="notEqual">
      <formula>INDIRECT("Dummy_for_Comparison1!"&amp;ADDRESS(ROW(),COLUMN()))</formula>
    </cfRule>
  </conditionalFormatting>
  <conditionalFormatting sqref="D11">
    <cfRule type="cellIs" dxfId="364" priority="113" stopIfTrue="1" operator="notEqual">
      <formula>INDIRECT("Dummy_for_Comparison1!"&amp;ADDRESS(ROW(),COLUMN()))</formula>
    </cfRule>
  </conditionalFormatting>
  <conditionalFormatting sqref="N11:O11">
    <cfRule type="cellIs" dxfId="363" priority="117" stopIfTrue="1" operator="notEqual">
      <formula>INDIRECT("Dummy_for_Comparison1!"&amp;ADDRESS(ROW(),COLUMN()))</formula>
    </cfRule>
  </conditionalFormatting>
  <conditionalFormatting sqref="P11:Q11">
    <cfRule type="cellIs" dxfId="362" priority="115" stopIfTrue="1" operator="notEqual">
      <formula>INDIRECT("Dummy_for_Comparison1!"&amp;ADDRESS(ROW(),COLUMN()))</formula>
    </cfRule>
  </conditionalFormatting>
  <conditionalFormatting sqref="R11">
    <cfRule type="cellIs" dxfId="361" priority="118" stopIfTrue="1" operator="notEqual">
      <formula>INDIRECT("Dummy_for_Comparison1!"&amp;ADDRESS(ROW(),COLUMN()))</formula>
    </cfRule>
  </conditionalFormatting>
  <conditionalFormatting sqref="T11:V11">
    <cfRule type="cellIs" dxfId="360" priority="127" stopIfTrue="1" operator="notEqual">
      <formula>INDIRECT("Dummy_for_Comparison1!"&amp;ADDRESS(ROW(),COLUMN()))</formula>
    </cfRule>
  </conditionalFormatting>
  <conditionalFormatting sqref="W11">
    <cfRule type="cellIs" dxfId="359" priority="122" stopIfTrue="1" operator="notEqual">
      <formula>INDIRECT("Dummy_for_Comparison1!"&amp;ADDRESS(ROW(),COLUMN()))</formula>
    </cfRule>
  </conditionalFormatting>
  <conditionalFormatting sqref="X11">
    <cfRule type="cellIs" dxfId="358" priority="121" stopIfTrue="1" operator="notEqual">
      <formula>INDIRECT("Dummy_for_Comparison1!"&amp;ADDRESS(ROW(),COLUMN()))</formula>
    </cfRule>
  </conditionalFormatting>
  <conditionalFormatting sqref="Y11:AA11">
    <cfRule type="cellIs" dxfId="357" priority="123" stopIfTrue="1" operator="notEqual">
      <formula>INDIRECT("Dummy_for_Comparison1!"&amp;ADDRESS(ROW(),COLUMN()))</formula>
    </cfRule>
  </conditionalFormatting>
  <conditionalFormatting sqref="AB11:AC11">
    <cfRule type="cellIs" dxfId="356" priority="126" stopIfTrue="1" operator="notEqual">
      <formula>INDIRECT("Dummy_for_Comparison1!"&amp;ADDRESS(ROW(),COLUMN()))</formula>
    </cfRule>
  </conditionalFormatting>
  <conditionalFormatting sqref="AC11">
    <cfRule type="cellIs" dxfId="355" priority="132" stopIfTrue="1" operator="notEqual">
      <formula>INDIRECT("Dummy_for_Comparison1!"&amp;ADDRESS(ROW(),COLUMN()))</formula>
    </cfRule>
  </conditionalFormatting>
  <conditionalFormatting sqref="AD11:AF11">
    <cfRule type="cellIs" dxfId="354" priority="125" stopIfTrue="1" operator="notEqual">
      <formula>INDIRECT("Dummy_for_Comparison1!"&amp;ADDRESS(ROW(),COLUMN()))</formula>
    </cfRule>
  </conditionalFormatting>
  <conditionalFormatting sqref="AF11">
    <cfRule type="cellIs" dxfId="353" priority="124" stopIfTrue="1" operator="notEqual">
      <formula>INDIRECT("Dummy_for_Comparison1!"&amp;ADDRESS(ROW(),COLUMN()))</formula>
    </cfRule>
  </conditionalFormatting>
  <conditionalFormatting sqref="AG11">
    <cfRule type="cellIs" dxfId="352" priority="133" stopIfTrue="1" operator="notEqual">
      <formula>INDIRECT("Dummy_for_Comparison1!"&amp;ADDRESS(ROW(),COLUMN()))</formula>
    </cfRule>
    <cfRule type="cellIs" dxfId="351" priority="134" stopIfTrue="1" operator="notEqual">
      <formula>INDIRECT("Dummy_for_Comparison1!"&amp;ADDRESS(ROW(),COLUMN()))</formula>
    </cfRule>
  </conditionalFormatting>
  <conditionalFormatting sqref="AK11">
    <cfRule type="cellIs" dxfId="350" priority="114" stopIfTrue="1" operator="notEqual">
      <formula>INDIRECT("Dummy_for_Comparison1!"&amp;ADDRESS(ROW(),COLUMN()))</formula>
    </cfRule>
  </conditionalFormatting>
  <conditionalFormatting sqref="AP11">
    <cfRule type="cellIs" dxfId="349" priority="120" stopIfTrue="1" operator="notEqual">
      <formula>INDIRECT("Dummy_for_Comparison1!"&amp;ADDRESS(ROW(),COLUMN()))</formula>
    </cfRule>
  </conditionalFormatting>
  <conditionalFormatting sqref="AQ11">
    <cfRule type="cellIs" dxfId="348" priority="128" stopIfTrue="1" operator="notEqual">
      <formula>INDIRECT("Dummy_for_Comparison1!"&amp;ADDRESS(ROW(),COLUMN()))</formula>
    </cfRule>
  </conditionalFormatting>
  <conditionalFormatting sqref="AR11">
    <cfRule type="cellIs" dxfId="347" priority="119" stopIfTrue="1" operator="notEqual">
      <formula>INDIRECT("Dummy_for_Comparison1!"&amp;ADDRESS(ROW(),COLUMN()))</formula>
    </cfRule>
  </conditionalFormatting>
  <conditionalFormatting sqref="C12">
    <cfRule type="cellIs" dxfId="346" priority="394" stopIfTrue="1" operator="notEqual">
      <formula>INDIRECT("Dummy_for_Comparison1!"&amp;ADDRESS(ROW(),COLUMN()))</formula>
    </cfRule>
  </conditionalFormatting>
  <conditionalFormatting sqref="D12">
    <cfRule type="cellIs" dxfId="345" priority="417" stopIfTrue="1" operator="notEqual">
      <formula>INDIRECT("Dummy_for_Comparison1!"&amp;ADDRESS(ROW(),COLUMN()))</formula>
    </cfRule>
  </conditionalFormatting>
  <conditionalFormatting sqref="R12">
    <cfRule type="cellIs" dxfId="344" priority="316" stopIfTrue="1" operator="notEqual">
      <formula>INDIRECT("Dummy_for_Comparison1!"&amp;ADDRESS(ROW(),COLUMN()))</formula>
    </cfRule>
  </conditionalFormatting>
  <conditionalFormatting sqref="T12:V12">
    <cfRule type="cellIs" dxfId="343" priority="415" stopIfTrue="1" operator="notEqual">
      <formula>INDIRECT("Dummy_for_Comparison1!"&amp;ADDRESS(ROW(),COLUMN()))</formula>
    </cfRule>
  </conditionalFormatting>
  <conditionalFormatting sqref="W12">
    <cfRule type="cellIs" dxfId="342" priority="410" stopIfTrue="1" operator="notEqual">
      <formula>INDIRECT("Dummy_for_Comparison1!"&amp;ADDRESS(ROW(),COLUMN()))</formula>
    </cfRule>
  </conditionalFormatting>
  <conditionalFormatting sqref="AF12">
    <cfRule type="cellIs" dxfId="341" priority="411" stopIfTrue="1" operator="notEqual">
      <formula>INDIRECT("Dummy_for_Comparison1!"&amp;ADDRESS(ROW(),COLUMN()))</formula>
    </cfRule>
  </conditionalFormatting>
  <conditionalFormatting sqref="AK12">
    <cfRule type="cellIs" dxfId="340" priority="162" stopIfTrue="1" operator="notEqual">
      <formula>INDIRECT("Dummy_for_Comparison1!"&amp;ADDRESS(ROW(),COLUMN()))</formula>
    </cfRule>
  </conditionalFormatting>
  <conditionalFormatting sqref="AQ12">
    <cfRule type="cellIs" dxfId="339" priority="416" stopIfTrue="1" operator="notEqual">
      <formula>INDIRECT("Dummy_for_Comparison1!"&amp;ADDRESS(ROW(),COLUMN()))</formula>
    </cfRule>
  </conditionalFormatting>
  <conditionalFormatting sqref="AT12">
    <cfRule type="cellIs" dxfId="338" priority="98" stopIfTrue="1" operator="notEqual">
      <formula>INDIRECT("Dummy_for_Comparison1!"&amp;ADDRESS(ROW(),COLUMN()))</formula>
    </cfRule>
  </conditionalFormatting>
  <conditionalFormatting sqref="J13">
    <cfRule type="cellIs" dxfId="337" priority="256" stopIfTrue="1" operator="notEqual">
      <formula>INDIRECT("Dummy_for_Comparison1!"&amp;ADDRESS(ROW(),COLUMN()))</formula>
    </cfRule>
  </conditionalFormatting>
  <conditionalFormatting sqref="R13">
    <cfRule type="cellIs" dxfId="336" priority="301" stopIfTrue="1" operator="notEqual">
      <formula>INDIRECT("Dummy_for_Comparison1!"&amp;ADDRESS(ROW(),COLUMN()))</formula>
    </cfRule>
  </conditionalFormatting>
  <conditionalFormatting sqref="AK13">
    <cfRule type="cellIs" dxfId="335" priority="161" stopIfTrue="1" operator="notEqual">
      <formula>INDIRECT("Dummy_for_Comparison1!"&amp;ADDRESS(ROW(),COLUMN()))</formula>
    </cfRule>
  </conditionalFormatting>
  <conditionalFormatting sqref="AT13">
    <cfRule type="cellIs" dxfId="334" priority="103" stopIfTrue="1" operator="notEqual">
      <formula>INDIRECT("Dummy_for_Comparison1!"&amp;ADDRESS(ROW(),COLUMN()))</formula>
    </cfRule>
  </conditionalFormatting>
  <conditionalFormatting sqref="J14">
    <cfRule type="cellIs" dxfId="333" priority="255" stopIfTrue="1" operator="notEqual">
      <formula>INDIRECT("Dummy_for_Comparison1!"&amp;ADDRESS(ROW(),COLUMN()))</formula>
    </cfRule>
  </conditionalFormatting>
  <conditionalFormatting sqref="R14">
    <cfRule type="cellIs" dxfId="332" priority="300" stopIfTrue="1" operator="notEqual">
      <formula>INDIRECT("Dummy_for_Comparison1!"&amp;ADDRESS(ROW(),COLUMN()))</formula>
    </cfRule>
  </conditionalFormatting>
  <conditionalFormatting sqref="AK14">
    <cfRule type="cellIs" dxfId="331" priority="160" stopIfTrue="1" operator="notEqual">
      <formula>INDIRECT("Dummy_for_Comparison1!"&amp;ADDRESS(ROW(),COLUMN()))</formula>
    </cfRule>
  </conditionalFormatting>
  <conditionalFormatting sqref="AT14">
    <cfRule type="cellIs" dxfId="330" priority="101" stopIfTrue="1" operator="notEqual">
      <formula>INDIRECT("Dummy_for_Comparison1!"&amp;ADDRESS(ROW(),COLUMN()))</formula>
    </cfRule>
  </conditionalFormatting>
  <conditionalFormatting sqref="J15">
    <cfRule type="cellIs" dxfId="329" priority="254" stopIfTrue="1" operator="notEqual">
      <formula>INDIRECT("Dummy_for_Comparison1!"&amp;ADDRESS(ROW(),COLUMN()))</formula>
    </cfRule>
  </conditionalFormatting>
  <conditionalFormatting sqref="R15">
    <cfRule type="cellIs" dxfId="328" priority="299" stopIfTrue="1" operator="notEqual">
      <formula>INDIRECT("Dummy_for_Comparison1!"&amp;ADDRESS(ROW(),COLUMN()))</formula>
    </cfRule>
  </conditionalFormatting>
  <conditionalFormatting sqref="AK15">
    <cfRule type="cellIs" dxfId="327" priority="159" stopIfTrue="1" operator="notEqual">
      <formula>INDIRECT("Dummy_for_Comparison1!"&amp;ADDRESS(ROW(),COLUMN()))</formula>
    </cfRule>
  </conditionalFormatting>
  <conditionalFormatting sqref="AT15">
    <cfRule type="cellIs" dxfId="326" priority="107" stopIfTrue="1" operator="notEqual">
      <formula>INDIRECT("Dummy_for_Comparison1!"&amp;ADDRESS(ROW(),COLUMN()))</formula>
    </cfRule>
  </conditionalFormatting>
  <conditionalFormatting sqref="J16">
    <cfRule type="cellIs" dxfId="325" priority="252" stopIfTrue="1" operator="notEqual">
      <formula>INDIRECT("Dummy_for_Comparison1!"&amp;ADDRESS(ROW(),COLUMN()))</formula>
    </cfRule>
  </conditionalFormatting>
  <conditionalFormatting sqref="R16">
    <cfRule type="cellIs" dxfId="324" priority="298" stopIfTrue="1" operator="notEqual">
      <formula>INDIRECT("Dummy_for_Comparison1!"&amp;ADDRESS(ROW(),COLUMN()))</formula>
    </cfRule>
  </conditionalFormatting>
  <conditionalFormatting sqref="AK16">
    <cfRule type="cellIs" dxfId="323" priority="158" stopIfTrue="1" operator="notEqual">
      <formula>INDIRECT("Dummy_for_Comparison1!"&amp;ADDRESS(ROW(),COLUMN()))</formula>
    </cfRule>
  </conditionalFormatting>
  <conditionalFormatting sqref="AT16">
    <cfRule type="cellIs" dxfId="322" priority="87" stopIfTrue="1" operator="notEqual">
      <formula>INDIRECT("Dummy_for_Comparison1!"&amp;ADDRESS(ROW(),COLUMN()))</formula>
    </cfRule>
  </conditionalFormatting>
  <conditionalFormatting sqref="AK17">
    <cfRule type="cellIs" dxfId="321" priority="157" stopIfTrue="1" operator="notEqual">
      <formula>INDIRECT("Dummy_for_Comparison1!"&amp;ADDRESS(ROW(),COLUMN()))</formula>
    </cfRule>
  </conditionalFormatting>
  <conditionalFormatting sqref="AT17">
    <cfRule type="cellIs" dxfId="320" priority="105" stopIfTrue="1" operator="notEqual">
      <formula>INDIRECT("Dummy_for_Comparison1!"&amp;ADDRESS(ROW(),COLUMN()))</formula>
    </cfRule>
  </conditionalFormatting>
  <conditionalFormatting sqref="J18">
    <cfRule type="cellIs" dxfId="319" priority="253" stopIfTrue="1" operator="notEqual">
      <formula>INDIRECT("Dummy_for_Comparison1!"&amp;ADDRESS(ROW(),COLUMN()))</formula>
    </cfRule>
  </conditionalFormatting>
  <conditionalFormatting sqref="P18:Q18">
    <cfRule type="cellIs" dxfId="318" priority="312" stopIfTrue="1" operator="notEqual">
      <formula>INDIRECT("Dummy_for_Comparison1!"&amp;ADDRESS(ROW(),COLUMN()))</formula>
    </cfRule>
  </conditionalFormatting>
  <conditionalFormatting sqref="AK18">
    <cfRule type="cellIs" dxfId="317" priority="156" stopIfTrue="1" operator="notEqual">
      <formula>INDIRECT("Dummy_for_Comparison1!"&amp;ADDRESS(ROW(),COLUMN()))</formula>
    </cfRule>
  </conditionalFormatting>
  <conditionalFormatting sqref="J19">
    <cfRule type="cellIs" dxfId="316" priority="251" stopIfTrue="1" operator="notEqual">
      <formula>INDIRECT("Dummy_for_Comparison1!"&amp;ADDRESS(ROW(),COLUMN()))</formula>
    </cfRule>
  </conditionalFormatting>
  <conditionalFormatting sqref="AK20">
    <cfRule type="cellIs" dxfId="315" priority="141" stopIfTrue="1" operator="notEqual">
      <formula>INDIRECT("Dummy_for_Comparison1!"&amp;ADDRESS(ROW(),COLUMN()))</formula>
    </cfRule>
  </conditionalFormatting>
  <conditionalFormatting sqref="J21">
    <cfRule type="cellIs" dxfId="314" priority="250" stopIfTrue="1" operator="notEqual">
      <formula>INDIRECT("Dummy_for_Comparison1!"&amp;ADDRESS(ROW(),COLUMN()))</formula>
    </cfRule>
  </conditionalFormatting>
  <conditionalFormatting sqref="P21:Q21">
    <cfRule type="cellIs" dxfId="313" priority="311" stopIfTrue="1" operator="notEqual">
      <formula>INDIRECT("Dummy_for_Comparison1!"&amp;ADDRESS(ROW(),COLUMN()))</formula>
    </cfRule>
  </conditionalFormatting>
  <conditionalFormatting sqref="R21">
    <cfRule type="cellIs" dxfId="312" priority="296" stopIfTrue="1" operator="notEqual">
      <formula>INDIRECT("Dummy_for_Comparison1!"&amp;ADDRESS(ROW(),COLUMN()))</formula>
    </cfRule>
  </conditionalFormatting>
  <conditionalFormatting sqref="K22:L22">
    <cfRule type="cellIs" dxfId="311" priority="377" stopIfTrue="1" operator="notEqual">
      <formula>INDIRECT("Dummy_for_Comparison1!"&amp;ADDRESS(ROW(),COLUMN()))</formula>
    </cfRule>
  </conditionalFormatting>
  <conditionalFormatting sqref="N22">
    <cfRule type="cellIs" dxfId="310" priority="167" stopIfTrue="1" operator="notEqual">
      <formula>INDIRECT("Dummy_for_Comparison1!"&amp;ADDRESS(ROW(),COLUMN()))</formula>
    </cfRule>
  </conditionalFormatting>
  <conditionalFormatting sqref="O22">
    <cfRule type="cellIs" dxfId="309" priority="166" stopIfTrue="1" operator="notEqual">
      <formula>INDIRECT("Dummy_for_Comparison1!"&amp;ADDRESS(ROW(),COLUMN()))</formula>
    </cfRule>
  </conditionalFormatting>
  <conditionalFormatting sqref="S22">
    <cfRule type="cellIs" dxfId="308" priority="163" stopIfTrue="1" operator="notEqual">
      <formula>INDIRECT("Dummy_for_Comparison1!"&amp;ADDRESS(ROW(),COLUMN()))</formula>
    </cfRule>
  </conditionalFormatting>
  <conditionalFormatting sqref="AK22">
    <cfRule type="cellIs" dxfId="307" priority="146" stopIfTrue="1" operator="notEqual">
      <formula>INDIRECT("Dummy_for_Comparison1!"&amp;ADDRESS(ROW(),COLUMN()))</formula>
    </cfRule>
  </conditionalFormatting>
  <conditionalFormatting sqref="AT22">
    <cfRule type="cellIs" dxfId="306" priority="95" stopIfTrue="1" operator="notEqual">
      <formula>INDIRECT("Dummy_for_Comparison1!"&amp;ADDRESS(ROW(),COLUMN()))</formula>
    </cfRule>
  </conditionalFormatting>
  <conditionalFormatting sqref="K23:L23">
    <cfRule type="cellIs" dxfId="305" priority="376" stopIfTrue="1" operator="notEqual">
      <formula>INDIRECT("Dummy_for_Comparison1!"&amp;ADDRESS(ROW(),COLUMN()))</formula>
    </cfRule>
  </conditionalFormatting>
  <conditionalFormatting sqref="AK23">
    <cfRule type="cellIs" dxfId="304" priority="145" stopIfTrue="1" operator="notEqual">
      <formula>INDIRECT("Dummy_for_Comparison1!"&amp;ADDRESS(ROW(),COLUMN()))</formula>
    </cfRule>
  </conditionalFormatting>
  <conditionalFormatting sqref="AT23">
    <cfRule type="cellIs" dxfId="303" priority="97" stopIfTrue="1" operator="notEqual">
      <formula>INDIRECT("Dummy_for_Comparison1!"&amp;ADDRESS(ROW(),COLUMN()))</formula>
    </cfRule>
  </conditionalFormatting>
  <conditionalFormatting sqref="AK24">
    <cfRule type="cellIs" dxfId="302" priority="144" stopIfTrue="1" operator="notEqual">
      <formula>INDIRECT("Dummy_for_Comparison1!"&amp;ADDRESS(ROW(),COLUMN()))</formula>
    </cfRule>
  </conditionalFormatting>
  <conditionalFormatting sqref="AT24">
    <cfRule type="cellIs" dxfId="301" priority="106" stopIfTrue="1" operator="notEqual">
      <formula>INDIRECT("Dummy_for_Comparison1!"&amp;ADDRESS(ROW(),COLUMN()))</formula>
    </cfRule>
  </conditionalFormatting>
  <conditionalFormatting sqref="J25">
    <cfRule type="cellIs" dxfId="300" priority="249" stopIfTrue="1" operator="notEqual">
      <formula>INDIRECT("Dummy_for_Comparison1!"&amp;ADDRESS(ROW(),COLUMN()))</formula>
    </cfRule>
  </conditionalFormatting>
  <conditionalFormatting sqref="AK25">
    <cfRule type="cellIs" dxfId="299" priority="143" stopIfTrue="1" operator="notEqual">
      <formula>INDIRECT("Dummy_for_Comparison1!"&amp;ADDRESS(ROW(),COLUMN()))</formula>
    </cfRule>
  </conditionalFormatting>
  <conditionalFormatting sqref="AT25">
    <cfRule type="cellIs" dxfId="298" priority="88" stopIfTrue="1" operator="notEqual">
      <formula>INDIRECT("Dummy_for_Comparison1!"&amp;ADDRESS(ROW(),COLUMN()))</formula>
    </cfRule>
  </conditionalFormatting>
  <conditionalFormatting sqref="AK26">
    <cfRule type="cellIs" dxfId="297" priority="142" stopIfTrue="1" operator="notEqual">
      <formula>INDIRECT("Dummy_for_Comparison1!"&amp;ADDRESS(ROW(),COLUMN()))</formula>
    </cfRule>
  </conditionalFormatting>
  <conditionalFormatting sqref="AT26">
    <cfRule type="cellIs" dxfId="296" priority="91" stopIfTrue="1" operator="notEqual">
      <formula>INDIRECT("Dummy_for_Comparison1!"&amp;ADDRESS(ROW(),COLUMN()))</formula>
    </cfRule>
  </conditionalFormatting>
  <conditionalFormatting sqref="J27">
    <cfRule type="cellIs" dxfId="295" priority="248" stopIfTrue="1" operator="notEqual">
      <formula>INDIRECT("Dummy_for_Comparison1!"&amp;ADDRESS(ROW(),COLUMN()))</formula>
    </cfRule>
  </conditionalFormatting>
  <conditionalFormatting sqref="P27:Q27">
    <cfRule type="cellIs" dxfId="294" priority="307" stopIfTrue="1" operator="notEqual">
      <formula>INDIRECT("Dummy_for_Comparison1!"&amp;ADDRESS(ROW(),COLUMN()))</formula>
    </cfRule>
  </conditionalFormatting>
  <conditionalFormatting sqref="AT27">
    <cfRule type="cellIs" dxfId="293" priority="100" stopIfTrue="1" operator="notEqual">
      <formula>INDIRECT("Dummy_for_Comparison1!"&amp;ADDRESS(ROW(),COLUMN()))</formula>
    </cfRule>
  </conditionalFormatting>
  <conditionalFormatting sqref="K28">
    <cfRule type="cellIs" dxfId="292" priority="81" stopIfTrue="1" operator="notEqual">
      <formula>INDIRECT("Dummy_for_Comparison1!"&amp;ADDRESS(ROW(),COLUMN()))</formula>
    </cfRule>
  </conditionalFormatting>
  <conditionalFormatting sqref="L28">
    <cfRule type="cellIs" dxfId="291" priority="80" stopIfTrue="1" operator="notEqual">
      <formula>INDIRECT("Dummy_for_Comparison1!"&amp;ADDRESS(ROW(),COLUMN()))</formula>
    </cfRule>
  </conditionalFormatting>
  <conditionalFormatting sqref="P28:Q28">
    <cfRule type="cellIs" dxfId="290" priority="77" stopIfTrue="1" operator="notEqual">
      <formula>INDIRECT("Dummy_for_Comparison1!"&amp;ADDRESS(ROW(),COLUMN()))</formula>
    </cfRule>
  </conditionalFormatting>
  <conditionalFormatting sqref="R28">
    <cfRule type="cellIs" dxfId="289" priority="76" stopIfTrue="1" operator="notEqual">
      <formula>INDIRECT("Dummy_for_Comparison1!"&amp;ADDRESS(ROW(),COLUMN()))</formula>
    </cfRule>
  </conditionalFormatting>
  <conditionalFormatting sqref="AB28">
    <cfRule type="cellIs" dxfId="288" priority="83" stopIfTrue="1" operator="notEqual">
      <formula>INDIRECT("Dummy_for_Comparison1!"&amp;ADDRESS(ROW(),COLUMN()))</formula>
    </cfRule>
  </conditionalFormatting>
  <conditionalFormatting sqref="AE28">
    <cfRule type="cellIs" dxfId="287" priority="82" stopIfTrue="1" operator="notEqual">
      <formula>INDIRECT("Dummy_for_Comparison1!"&amp;ADDRESS(ROW(),COLUMN()))</formula>
    </cfRule>
  </conditionalFormatting>
  <conditionalFormatting sqref="AG28">
    <cfRule type="cellIs" dxfId="286" priority="78" stopIfTrue="1" operator="notEqual">
      <formula>INDIRECT("Dummy_for_Comparison1!"&amp;ADDRESS(ROW(),COLUMN()))</formula>
    </cfRule>
    <cfRule type="cellIs" dxfId="285" priority="79" stopIfTrue="1" operator="notEqual">
      <formula>INDIRECT("Dummy_for_Comparison1!"&amp;ADDRESS(ROW(),COLUMN()))</formula>
    </cfRule>
  </conditionalFormatting>
  <conditionalFormatting sqref="AK28">
    <cfRule type="cellIs" dxfId="284" priority="75" stopIfTrue="1" operator="notEqual">
      <formula>INDIRECT("Dummy_for_Comparison1!"&amp;ADDRESS(ROW(),COLUMN()))</formula>
    </cfRule>
  </conditionalFormatting>
  <conditionalFormatting sqref="J29">
    <cfRule type="cellIs" dxfId="283" priority="247" stopIfTrue="1" operator="notEqual">
      <formula>INDIRECT("Dummy_for_Comparison1!"&amp;ADDRESS(ROW(),COLUMN()))</formula>
    </cfRule>
  </conditionalFormatting>
  <conditionalFormatting sqref="P29:Q29">
    <cfRule type="cellIs" dxfId="282" priority="308" stopIfTrue="1" operator="notEqual">
      <formula>INDIRECT("Dummy_for_Comparison1!"&amp;ADDRESS(ROW(),COLUMN()))</formula>
    </cfRule>
  </conditionalFormatting>
  <conditionalFormatting sqref="AK29">
    <cfRule type="cellIs" dxfId="281" priority="154" stopIfTrue="1" operator="notEqual">
      <formula>INDIRECT("Dummy_for_Comparison1!"&amp;ADDRESS(ROW(),COLUMN()))</formula>
    </cfRule>
  </conditionalFormatting>
  <conditionalFormatting sqref="AT29">
    <cfRule type="cellIs" dxfId="280" priority="99" stopIfTrue="1" operator="notEqual">
      <formula>INDIRECT("Dummy_for_Comparison1!"&amp;ADDRESS(ROW(),COLUMN()))</formula>
    </cfRule>
  </conditionalFormatting>
  <conditionalFormatting sqref="K30:L30">
    <cfRule type="cellIs" dxfId="279" priority="375" stopIfTrue="1" operator="notEqual">
      <formula>INDIRECT("Dummy_for_Comparison1!"&amp;ADDRESS(ROW(),COLUMN()))</formula>
    </cfRule>
  </conditionalFormatting>
  <conditionalFormatting sqref="N30">
    <cfRule type="cellIs" dxfId="278" priority="169" stopIfTrue="1" operator="notEqual">
      <formula>INDIRECT("Dummy_for_Comparison1!"&amp;ADDRESS(ROW(),COLUMN()))</formula>
    </cfRule>
  </conditionalFormatting>
  <conditionalFormatting sqref="O30">
    <cfRule type="cellIs" dxfId="277" priority="168" stopIfTrue="1" operator="notEqual">
      <formula>INDIRECT("Dummy_for_Comparison1!"&amp;ADDRESS(ROW(),COLUMN()))</formula>
    </cfRule>
  </conditionalFormatting>
  <conditionalFormatting sqref="S30">
    <cfRule type="cellIs" dxfId="276" priority="164" stopIfTrue="1" operator="notEqual">
      <formula>INDIRECT("Dummy_for_Comparison1!"&amp;ADDRESS(ROW(),COLUMN()))</formula>
    </cfRule>
  </conditionalFormatting>
  <conditionalFormatting sqref="AK30">
    <cfRule type="cellIs" dxfId="275" priority="153" stopIfTrue="1" operator="notEqual">
      <formula>INDIRECT("Dummy_for_Comparison1!"&amp;ADDRESS(ROW(),COLUMN()))</formula>
    </cfRule>
  </conditionalFormatting>
  <conditionalFormatting sqref="AT30">
    <cfRule type="cellIs" dxfId="274" priority="96" stopIfTrue="1" operator="notEqual">
      <formula>INDIRECT("Dummy_for_Comparison1!"&amp;ADDRESS(ROW(),COLUMN()))</formula>
    </cfRule>
  </conditionalFormatting>
  <conditionalFormatting sqref="J31">
    <cfRule type="cellIs" dxfId="273" priority="246" stopIfTrue="1" operator="notEqual">
      <formula>INDIRECT("Dummy_for_Comparison1!"&amp;ADDRESS(ROW(),COLUMN()))</formula>
    </cfRule>
  </conditionalFormatting>
  <conditionalFormatting sqref="P31:Q31">
    <cfRule type="cellIs" dxfId="272" priority="309" stopIfTrue="1" operator="notEqual">
      <formula>INDIRECT("Dummy_for_Comparison1!"&amp;ADDRESS(ROW(),COLUMN()))</formula>
    </cfRule>
  </conditionalFormatting>
  <conditionalFormatting sqref="W31">
    <cfRule type="cellIs" dxfId="271" priority="406" stopIfTrue="1" operator="notEqual">
      <formula>INDIRECT("Dummy_for_Comparison1!"&amp;ADDRESS(ROW(),COLUMN()))</formula>
    </cfRule>
  </conditionalFormatting>
  <conditionalFormatting sqref="X31">
    <cfRule type="cellIs" dxfId="270" priority="407" stopIfTrue="1" operator="notEqual">
      <formula>INDIRECT("Dummy_for_Comparison1!"&amp;ADDRESS(ROW(),COLUMN()))</formula>
    </cfRule>
  </conditionalFormatting>
  <conditionalFormatting sqref="Y31:AA31">
    <cfRule type="cellIs" dxfId="269" priority="403" stopIfTrue="1" operator="notEqual">
      <formula>INDIRECT("Dummy_for_Comparison1!"&amp;ADDRESS(ROW(),COLUMN()))</formula>
    </cfRule>
  </conditionalFormatting>
  <conditionalFormatting sqref="AC31">
    <cfRule type="cellIs" dxfId="268" priority="405" stopIfTrue="1" operator="notEqual">
      <formula>INDIRECT("Dummy_for_Comparison1!"&amp;ADDRESS(ROW(),COLUMN()))</formula>
    </cfRule>
  </conditionalFormatting>
  <conditionalFormatting sqref="AK31">
    <cfRule type="cellIs" dxfId="267" priority="152" stopIfTrue="1" operator="notEqual">
      <formula>INDIRECT("Dummy_for_Comparison1!"&amp;ADDRESS(ROW(),COLUMN()))</formula>
    </cfRule>
  </conditionalFormatting>
  <conditionalFormatting sqref="AT31">
    <cfRule type="cellIs" dxfId="266" priority="108" stopIfTrue="1" operator="notEqual">
      <formula>INDIRECT("Dummy_for_Comparison1!"&amp;ADDRESS(ROW(),COLUMN()))</formula>
    </cfRule>
  </conditionalFormatting>
  <conditionalFormatting sqref="J32">
    <cfRule type="cellIs" dxfId="265" priority="245" stopIfTrue="1" operator="notEqual">
      <formula>INDIRECT("Dummy_for_Comparison1!"&amp;ADDRESS(ROW(),COLUMN()))</formula>
    </cfRule>
  </conditionalFormatting>
  <conditionalFormatting sqref="P32:Q32">
    <cfRule type="cellIs" dxfId="264" priority="310" stopIfTrue="1" operator="notEqual">
      <formula>INDIRECT("Dummy_for_Comparison1!"&amp;ADDRESS(ROW(),COLUMN()))</formula>
    </cfRule>
  </conditionalFormatting>
  <conditionalFormatting sqref="R32">
    <cfRule type="cellIs" dxfId="263" priority="292" stopIfTrue="1" operator="notEqual">
      <formula>INDIRECT("Dummy_for_Comparison1!"&amp;ADDRESS(ROW(),COLUMN()))</formula>
    </cfRule>
  </conditionalFormatting>
  <conditionalFormatting sqref="AK32">
    <cfRule type="cellIs" dxfId="262" priority="151" stopIfTrue="1" operator="notEqual">
      <formula>INDIRECT("Dummy_for_Comparison1!"&amp;ADDRESS(ROW(),COLUMN()))</formula>
    </cfRule>
  </conditionalFormatting>
  <conditionalFormatting sqref="J33">
    <cfRule type="cellIs" dxfId="261" priority="402" stopIfTrue="1" operator="notEqual">
      <formula>INDIRECT("Dummy_for_Comparison1!"&amp;ADDRESS(ROW(),COLUMN()))</formula>
    </cfRule>
  </conditionalFormatting>
  <conditionalFormatting sqref="K33:L33">
    <cfRule type="cellIs" dxfId="260" priority="374" stopIfTrue="1" operator="notEqual">
      <formula>INDIRECT("Dummy_for_Comparison1!"&amp;ADDRESS(ROW(),COLUMN()))</formula>
    </cfRule>
  </conditionalFormatting>
  <conditionalFormatting sqref="P33:Q33">
    <cfRule type="cellIs" dxfId="259" priority="305" stopIfTrue="1" operator="notEqual">
      <formula>INDIRECT("Dummy_for_Comparison1!"&amp;ADDRESS(ROW(),COLUMN()))</formula>
    </cfRule>
  </conditionalFormatting>
  <conditionalFormatting sqref="R33">
    <cfRule type="cellIs" dxfId="258" priority="291" stopIfTrue="1" operator="notEqual">
      <formula>INDIRECT("Dummy_for_Comparison1!"&amp;ADDRESS(ROW(),COLUMN()))</formula>
    </cfRule>
  </conditionalFormatting>
  <conditionalFormatting sqref="AK33">
    <cfRule type="cellIs" dxfId="257" priority="150" stopIfTrue="1" operator="notEqual">
      <formula>INDIRECT("Dummy_for_Comparison1!"&amp;ADDRESS(ROW(),COLUMN()))</formula>
    </cfRule>
  </conditionalFormatting>
  <conditionalFormatting sqref="J34">
    <cfRule type="cellIs" dxfId="256" priority="222" stopIfTrue="1" operator="notEqual">
      <formula>INDIRECT("Dummy_for_Comparison1!"&amp;ADDRESS(ROW(),COLUMN()))</formula>
    </cfRule>
  </conditionalFormatting>
  <conditionalFormatting sqref="N34:O34">
    <cfRule type="cellIs" dxfId="255" priority="216" stopIfTrue="1" operator="notEqual">
      <formula>INDIRECT("Dummy_for_Comparison1!"&amp;ADDRESS(ROW(),COLUMN()))</formula>
    </cfRule>
  </conditionalFormatting>
  <conditionalFormatting sqref="P34:Q34">
    <cfRule type="cellIs" dxfId="254" priority="215" stopIfTrue="1" operator="notEqual">
      <formula>INDIRECT("Dummy_for_Comparison1!"&amp;ADDRESS(ROW(),COLUMN()))</formula>
    </cfRule>
  </conditionalFormatting>
  <conditionalFormatting sqref="R34">
    <cfRule type="cellIs" dxfId="253" priority="214" stopIfTrue="1" operator="notEqual">
      <formula>INDIRECT("Dummy_for_Comparison1!"&amp;ADDRESS(ROW(),COLUMN()))</formula>
    </cfRule>
  </conditionalFormatting>
  <conditionalFormatting sqref="S34">
    <cfRule type="cellIs" dxfId="252" priority="230" stopIfTrue="1" operator="notEqual">
      <formula>INDIRECT("Dummy_for_Comparison1!"&amp;ADDRESS(ROW(),COLUMN()))</formula>
    </cfRule>
  </conditionalFormatting>
  <conditionalFormatting sqref="T34:U34">
    <cfRule type="cellIs" dxfId="251" priority="229" stopIfTrue="1" operator="notEqual">
      <formula>INDIRECT("Dummy_for_Comparison1!"&amp;ADDRESS(ROW(),COLUMN()))</formula>
    </cfRule>
  </conditionalFormatting>
  <conditionalFormatting sqref="W34">
    <cfRule type="cellIs" dxfId="250" priority="220" stopIfTrue="1" operator="notEqual">
      <formula>INDIRECT("Dummy_for_Comparison1!"&amp;ADDRESS(ROW(),COLUMN()))</formula>
    </cfRule>
  </conditionalFormatting>
  <conditionalFormatting sqref="X34">
    <cfRule type="cellIs" dxfId="249" priority="221" stopIfTrue="1" operator="notEqual">
      <formula>INDIRECT("Dummy_for_Comparison1!"&amp;ADDRESS(ROW(),COLUMN()))</formula>
    </cfRule>
  </conditionalFormatting>
  <conditionalFormatting sqref="Y34:AA34">
    <cfRule type="cellIs" dxfId="248" priority="217" stopIfTrue="1" operator="notEqual">
      <formula>INDIRECT("Dummy_for_Comparison1!"&amp;ADDRESS(ROW(),COLUMN()))</formula>
    </cfRule>
  </conditionalFormatting>
  <conditionalFormatting sqref="AB34">
    <cfRule type="cellIs" dxfId="247" priority="234" stopIfTrue="1" operator="notEqual">
      <formula>INDIRECT("Dummy_for_Comparison1!"&amp;ADDRESS(ROW(),COLUMN()))</formula>
    </cfRule>
  </conditionalFormatting>
  <conditionalFormatting sqref="AC34">
    <cfRule type="cellIs" dxfId="246" priority="219" stopIfTrue="1" operator="notEqual">
      <formula>INDIRECT("Dummy_for_Comparison1!"&amp;ADDRESS(ROW(),COLUMN()))</formula>
    </cfRule>
    <cfRule type="cellIs" dxfId="245" priority="232" stopIfTrue="1" operator="notEqual">
      <formula>INDIRECT("Dummy_for_Comparison1!"&amp;ADDRESS(ROW(),COLUMN()))</formula>
    </cfRule>
  </conditionalFormatting>
  <conditionalFormatting sqref="AD34">
    <cfRule type="cellIs" dxfId="244" priority="218" stopIfTrue="1" operator="notEqual">
      <formula>INDIRECT("Dummy_for_Comparison1!"&amp;ADDRESS(ROW(),COLUMN()))</formula>
    </cfRule>
    <cfRule type="cellIs" dxfId="243" priority="231" stopIfTrue="1" operator="notEqual">
      <formula>INDIRECT("Dummy_for_Comparison1!"&amp;ADDRESS(ROW(),COLUMN()))</formula>
    </cfRule>
  </conditionalFormatting>
  <conditionalFormatting sqref="AE34">
    <cfRule type="cellIs" dxfId="242" priority="233" stopIfTrue="1" operator="notEqual">
      <formula>INDIRECT("Dummy_for_Comparison1!"&amp;ADDRESS(ROW(),COLUMN()))</formula>
    </cfRule>
    <cfRule type="cellIs" dxfId="241" priority="235" stopIfTrue="1" operator="notEqual">
      <formula>INDIRECT("Dummy_for_Comparison1!"&amp;ADDRESS(ROW(),COLUMN()))</formula>
    </cfRule>
  </conditionalFormatting>
  <conditionalFormatting sqref="AF34">
    <cfRule type="cellIs" dxfId="240" priority="223" stopIfTrue="1" operator="notEqual">
      <formula>INDIRECT("Dummy_for_Comparison1!"&amp;ADDRESS(ROW(),COLUMN()))</formula>
    </cfRule>
    <cfRule type="cellIs" dxfId="239" priority="224" stopIfTrue="1" operator="notEqual">
      <formula>INDIRECT("Dummy_for_Comparison1!"&amp;ADDRESS(ROW(),COLUMN()))</formula>
    </cfRule>
  </conditionalFormatting>
  <conditionalFormatting sqref="AK34">
    <cfRule type="cellIs" dxfId="238" priority="138" stopIfTrue="1" operator="notEqual">
      <formula>INDIRECT("Dummy_for_Comparison1!"&amp;ADDRESS(ROW(),COLUMN()))</formula>
    </cfRule>
  </conditionalFormatting>
  <conditionalFormatting sqref="AP34">
    <cfRule type="cellIs" dxfId="237" priority="226" stopIfTrue="1" operator="notEqual">
      <formula>INDIRECT("Dummy_for_Comparison1!"&amp;ADDRESS(ROW(),COLUMN()))</formula>
    </cfRule>
  </conditionalFormatting>
  <conditionalFormatting sqref="AR34">
    <cfRule type="cellIs" dxfId="236" priority="225" stopIfTrue="1" operator="notEqual">
      <formula>INDIRECT("Dummy_for_Comparison1!"&amp;ADDRESS(ROW(),COLUMN()))</formula>
    </cfRule>
  </conditionalFormatting>
  <conditionalFormatting sqref="J35">
    <cfRule type="cellIs" dxfId="235" priority="244" stopIfTrue="1" operator="notEqual">
      <formula>INDIRECT("Dummy_for_Comparison1!"&amp;ADDRESS(ROW(),COLUMN()))</formula>
    </cfRule>
  </conditionalFormatting>
  <conditionalFormatting sqref="K35:L35">
    <cfRule type="cellIs" dxfId="234" priority="287" stopIfTrue="1" operator="notEqual">
      <formula>INDIRECT("Dummy_for_Comparison1!"&amp;ADDRESS(ROW(),COLUMN()))</formula>
    </cfRule>
  </conditionalFormatting>
  <conditionalFormatting sqref="N35:O35">
    <cfRule type="cellIs" dxfId="233" priority="288" stopIfTrue="1" operator="notEqual">
      <formula>INDIRECT("Dummy_for_Comparison1!"&amp;ADDRESS(ROW(),COLUMN()))</formula>
    </cfRule>
  </conditionalFormatting>
  <conditionalFormatting sqref="P35:Q35">
    <cfRule type="cellIs" dxfId="232" priority="304" stopIfTrue="1" operator="notEqual">
      <formula>INDIRECT("Dummy_for_Comparison1!"&amp;ADDRESS(ROW(),COLUMN()))</formula>
    </cfRule>
  </conditionalFormatting>
  <conditionalFormatting sqref="R35">
    <cfRule type="cellIs" dxfId="231" priority="289" stopIfTrue="1" operator="notEqual">
      <formula>INDIRECT("Dummy_for_Comparison1!"&amp;ADDRESS(ROW(),COLUMN()))</formula>
    </cfRule>
  </conditionalFormatting>
  <conditionalFormatting sqref="S35">
    <cfRule type="cellIs" dxfId="230" priority="282" stopIfTrue="1" operator="notEqual">
      <formula>INDIRECT("Dummy_for_Comparison1!"&amp;ADDRESS(ROW(),COLUMN()))</formula>
    </cfRule>
  </conditionalFormatting>
  <conditionalFormatting sqref="T35:U35">
    <cfRule type="cellIs" dxfId="229" priority="342" stopIfTrue="1" operator="notEqual">
      <formula>INDIRECT("Dummy_for_Comparison1!"&amp;ADDRESS(ROW(),COLUMN()))</formula>
    </cfRule>
  </conditionalFormatting>
  <conditionalFormatting sqref="W35">
    <cfRule type="cellIs" dxfId="228" priority="336" stopIfTrue="1" operator="notEqual">
      <formula>INDIRECT("Dummy_for_Comparison1!"&amp;ADDRESS(ROW(),COLUMN()))</formula>
    </cfRule>
  </conditionalFormatting>
  <conditionalFormatting sqref="X35">
    <cfRule type="cellIs" dxfId="227" priority="337" stopIfTrue="1" operator="notEqual">
      <formula>INDIRECT("Dummy_for_Comparison1!"&amp;ADDRESS(ROW(),COLUMN()))</formula>
    </cfRule>
  </conditionalFormatting>
  <conditionalFormatting sqref="Y35:AA35">
    <cfRule type="cellIs" dxfId="226" priority="333" stopIfTrue="1" operator="notEqual">
      <formula>INDIRECT("Dummy_for_Comparison1!"&amp;ADDRESS(ROW(),COLUMN()))</formula>
    </cfRule>
  </conditionalFormatting>
  <conditionalFormatting sqref="AB35">
    <cfRule type="cellIs" dxfId="225" priority="344" stopIfTrue="1" operator="notEqual">
      <formula>INDIRECT("Dummy_for_Comparison1!"&amp;ADDRESS(ROW(),COLUMN()))</formula>
    </cfRule>
  </conditionalFormatting>
  <conditionalFormatting sqref="AC35">
    <cfRule type="cellIs" dxfId="224" priority="332" stopIfTrue="1" operator="notEqual">
      <formula>INDIRECT("Dummy_for_Comparison1!"&amp;ADDRESS(ROW(),COLUMN()))</formula>
    </cfRule>
    <cfRule type="cellIs" dxfId="223" priority="335" stopIfTrue="1" operator="notEqual">
      <formula>INDIRECT("Dummy_for_Comparison1!"&amp;ADDRESS(ROW(),COLUMN()))</formula>
    </cfRule>
  </conditionalFormatting>
  <conditionalFormatting sqref="AD35">
    <cfRule type="cellIs" dxfId="222" priority="331" stopIfTrue="1" operator="notEqual">
      <formula>INDIRECT("Dummy_for_Comparison1!"&amp;ADDRESS(ROW(),COLUMN()))</formula>
    </cfRule>
    <cfRule type="cellIs" dxfId="221" priority="334" stopIfTrue="1" operator="notEqual">
      <formula>INDIRECT("Dummy_for_Comparison1!"&amp;ADDRESS(ROW(),COLUMN()))</formula>
    </cfRule>
  </conditionalFormatting>
  <conditionalFormatting sqref="AE35">
    <cfRule type="cellIs" dxfId="220" priority="343" stopIfTrue="1" operator="notEqual">
      <formula>INDIRECT("Dummy_for_Comparison1!"&amp;ADDRESS(ROW(),COLUMN()))</formula>
    </cfRule>
  </conditionalFormatting>
  <conditionalFormatting sqref="AF35">
    <cfRule type="cellIs" dxfId="219" priority="258" stopIfTrue="1" operator="notEqual">
      <formula>INDIRECT("Dummy_for_Comparison1!"&amp;ADDRESS(ROW(),COLUMN()))</formula>
    </cfRule>
    <cfRule type="cellIs" dxfId="218" priority="259" stopIfTrue="1" operator="notEqual">
      <formula>INDIRECT("Dummy_for_Comparison1!"&amp;ADDRESS(ROW(),COLUMN()))</formula>
    </cfRule>
  </conditionalFormatting>
  <conditionalFormatting sqref="AK35">
    <cfRule type="cellIs" dxfId="217" priority="149" stopIfTrue="1" operator="notEqual">
      <formula>INDIRECT("Dummy_for_Comparison1!"&amp;ADDRESS(ROW(),COLUMN()))</formula>
    </cfRule>
  </conditionalFormatting>
  <conditionalFormatting sqref="AP35">
    <cfRule type="cellIs" dxfId="216" priority="339" stopIfTrue="1" operator="notEqual">
      <formula>INDIRECT("Dummy_for_Comparison1!"&amp;ADDRESS(ROW(),COLUMN()))</formula>
    </cfRule>
  </conditionalFormatting>
  <conditionalFormatting sqref="AR35">
    <cfRule type="cellIs" dxfId="215" priority="338" stopIfTrue="1" operator="notEqual">
      <formula>INDIRECT("Dummy_for_Comparison1!"&amp;ADDRESS(ROW(),COLUMN()))</formula>
    </cfRule>
  </conditionalFormatting>
  <conditionalFormatting sqref="AT35">
    <cfRule type="cellIs" dxfId="214" priority="92" stopIfTrue="1" operator="notEqual">
      <formula>INDIRECT("Dummy_for_Comparison1!"&amp;ADDRESS(ROW(),COLUMN()))</formula>
    </cfRule>
  </conditionalFormatting>
  <conditionalFormatting sqref="J36">
    <cfRule type="cellIs" dxfId="213" priority="243" stopIfTrue="1" operator="notEqual">
      <formula>INDIRECT("Dummy_for_Comparison1!"&amp;ADDRESS(ROW(),COLUMN()))</formula>
    </cfRule>
  </conditionalFormatting>
  <conditionalFormatting sqref="N36:O36">
    <cfRule type="cellIs" dxfId="212" priority="286" stopIfTrue="1" operator="notEqual">
      <formula>INDIRECT("Dummy_for_Comparison1!"&amp;ADDRESS(ROW(),COLUMN()))</formula>
    </cfRule>
  </conditionalFormatting>
  <conditionalFormatting sqref="P36:Q36">
    <cfRule type="cellIs" dxfId="211" priority="303" stopIfTrue="1" operator="notEqual">
      <formula>INDIRECT("Dummy_for_Comparison1!"&amp;ADDRESS(ROW(),COLUMN()))</formula>
    </cfRule>
  </conditionalFormatting>
  <conditionalFormatting sqref="S36">
    <cfRule type="cellIs" dxfId="210" priority="283" stopIfTrue="1" operator="notEqual">
      <formula>INDIRECT("Dummy_for_Comparison1!"&amp;ADDRESS(ROW(),COLUMN()))</formula>
    </cfRule>
  </conditionalFormatting>
  <conditionalFormatting sqref="T36:U36">
    <cfRule type="cellIs" dxfId="209" priority="328" stopIfTrue="1" operator="notEqual">
      <formula>INDIRECT("Dummy_for_Comparison1!"&amp;ADDRESS(ROW(),COLUMN()))</formula>
    </cfRule>
  </conditionalFormatting>
  <conditionalFormatting sqref="W36">
    <cfRule type="cellIs" dxfId="208" priority="322" stopIfTrue="1" operator="notEqual">
      <formula>INDIRECT("Dummy_for_Comparison1!"&amp;ADDRESS(ROW(),COLUMN()))</formula>
    </cfRule>
  </conditionalFormatting>
  <conditionalFormatting sqref="X36">
    <cfRule type="cellIs" dxfId="207" priority="323" stopIfTrue="1" operator="notEqual">
      <formula>INDIRECT("Dummy_for_Comparison1!"&amp;ADDRESS(ROW(),COLUMN()))</formula>
    </cfRule>
  </conditionalFormatting>
  <conditionalFormatting sqref="Y36:AA36">
    <cfRule type="cellIs" dxfId="206" priority="319" stopIfTrue="1" operator="notEqual">
      <formula>INDIRECT("Dummy_for_Comparison1!"&amp;ADDRESS(ROW(),COLUMN()))</formula>
    </cfRule>
  </conditionalFormatting>
  <conditionalFormatting sqref="AB36">
    <cfRule type="cellIs" dxfId="205" priority="330" stopIfTrue="1" operator="notEqual">
      <formula>INDIRECT("Dummy_for_Comparison1!"&amp;ADDRESS(ROW(),COLUMN()))</formula>
    </cfRule>
  </conditionalFormatting>
  <conditionalFormatting sqref="AC36">
    <cfRule type="cellIs" dxfId="204" priority="318" stopIfTrue="1" operator="notEqual">
      <formula>INDIRECT("Dummy_for_Comparison1!"&amp;ADDRESS(ROW(),COLUMN()))</formula>
    </cfRule>
    <cfRule type="cellIs" dxfId="203" priority="321" stopIfTrue="1" operator="notEqual">
      <formula>INDIRECT("Dummy_for_Comparison1!"&amp;ADDRESS(ROW(),COLUMN()))</formula>
    </cfRule>
  </conditionalFormatting>
  <conditionalFormatting sqref="AD36">
    <cfRule type="cellIs" dxfId="202" priority="317" stopIfTrue="1" operator="notEqual">
      <formula>INDIRECT("Dummy_for_Comparison1!"&amp;ADDRESS(ROW(),COLUMN()))</formula>
    </cfRule>
  </conditionalFormatting>
  <conditionalFormatting sqref="AE36">
    <cfRule type="cellIs" dxfId="201" priority="329" stopIfTrue="1" operator="notEqual">
      <formula>INDIRECT("Dummy_for_Comparison1!"&amp;ADDRESS(ROW(),COLUMN()))</formula>
    </cfRule>
  </conditionalFormatting>
  <conditionalFormatting sqref="AF36">
    <cfRule type="cellIs" dxfId="200" priority="324" stopIfTrue="1" operator="notEqual">
      <formula>INDIRECT("Dummy_for_Comparison1!"&amp;ADDRESS(ROW(),COLUMN()))</formula>
    </cfRule>
  </conditionalFormatting>
  <conditionalFormatting sqref="AK36">
    <cfRule type="cellIs" dxfId="199" priority="148" stopIfTrue="1" operator="notEqual">
      <formula>INDIRECT("Dummy_for_Comparison1!"&amp;ADDRESS(ROW(),COLUMN()))</formula>
    </cfRule>
  </conditionalFormatting>
  <conditionalFormatting sqref="AP36">
    <cfRule type="cellIs" dxfId="198" priority="325" stopIfTrue="1" operator="notEqual">
      <formula>INDIRECT("Dummy_for_Comparison1!"&amp;ADDRESS(ROW(),COLUMN()))</formula>
    </cfRule>
  </conditionalFormatting>
  <conditionalFormatting sqref="AR36">
    <cfRule type="cellIs" dxfId="197" priority="257" stopIfTrue="1" operator="notEqual">
      <formula>INDIRECT("Dummy_for_Comparison1!"&amp;ADDRESS(ROW(),COLUMN()))</formula>
    </cfRule>
  </conditionalFormatting>
  <conditionalFormatting sqref="AT36">
    <cfRule type="cellIs" dxfId="196" priority="89" stopIfTrue="1" operator="notEqual">
      <formula>INDIRECT("Dummy_for_Comparison1!"&amp;ADDRESS(ROW(),COLUMN()))</formula>
    </cfRule>
  </conditionalFormatting>
  <conditionalFormatting sqref="J38">
    <cfRule type="cellIs" dxfId="195" priority="242" stopIfTrue="1" operator="notEqual">
      <formula>INDIRECT("Dummy_for_Comparison1!"&amp;ADDRESS(ROW(),COLUMN()))</formula>
    </cfRule>
  </conditionalFormatting>
  <conditionalFormatting sqref="N38:O38">
    <cfRule type="cellIs" dxfId="194" priority="285" stopIfTrue="1" operator="notEqual">
      <formula>INDIRECT("Dummy_for_Comparison1!"&amp;ADDRESS(ROW(),COLUMN()))</formula>
    </cfRule>
  </conditionalFormatting>
  <conditionalFormatting sqref="P38:Q38">
    <cfRule type="cellIs" dxfId="193" priority="302" stopIfTrue="1" operator="notEqual">
      <formula>INDIRECT("Dummy_for_Comparison1!"&amp;ADDRESS(ROW(),COLUMN()))</formula>
    </cfRule>
  </conditionalFormatting>
  <conditionalFormatting sqref="S38">
    <cfRule type="cellIs" dxfId="192" priority="284" stopIfTrue="1" operator="notEqual">
      <formula>INDIRECT("Dummy_for_Comparison1!"&amp;ADDRESS(ROW(),COLUMN()))</formula>
    </cfRule>
  </conditionalFormatting>
  <conditionalFormatting sqref="T38:U38">
    <cfRule type="cellIs" dxfId="191" priority="373" stopIfTrue="1" operator="notEqual">
      <formula>INDIRECT("Dummy_for_Comparison1!"&amp;ADDRESS(ROW(),COLUMN()))</formula>
    </cfRule>
  </conditionalFormatting>
  <conditionalFormatting sqref="W38">
    <cfRule type="cellIs" dxfId="190" priority="366" stopIfTrue="1" operator="notEqual">
      <formula>INDIRECT("Dummy_for_Comparison1!"&amp;ADDRESS(ROW(),COLUMN()))</formula>
    </cfRule>
  </conditionalFormatting>
  <conditionalFormatting sqref="X38">
    <cfRule type="cellIs" dxfId="189" priority="367" stopIfTrue="1" operator="notEqual">
      <formula>INDIRECT("Dummy_for_Comparison1!"&amp;ADDRESS(ROW(),COLUMN()))</formula>
    </cfRule>
  </conditionalFormatting>
  <conditionalFormatting sqref="Y38:AA38">
    <cfRule type="cellIs" dxfId="188" priority="363" stopIfTrue="1" operator="notEqual">
      <formula>INDIRECT("Dummy_for_Comparison1!"&amp;ADDRESS(ROW(),COLUMN()))</formula>
    </cfRule>
  </conditionalFormatting>
  <conditionalFormatting sqref="AC38">
    <cfRule type="cellIs" dxfId="187" priority="362" stopIfTrue="1" operator="notEqual">
      <formula>INDIRECT("Dummy_for_Comparison1!"&amp;ADDRESS(ROW(),COLUMN()))</formula>
    </cfRule>
    <cfRule type="cellIs" dxfId="186" priority="365" stopIfTrue="1" operator="notEqual">
      <formula>INDIRECT("Dummy_for_Comparison1!"&amp;ADDRESS(ROW(),COLUMN()))</formula>
    </cfRule>
  </conditionalFormatting>
  <conditionalFormatting sqref="AD38">
    <cfRule type="cellIs" dxfId="185" priority="361" stopIfTrue="1" operator="notEqual">
      <formula>INDIRECT("Dummy_for_Comparison1!"&amp;ADDRESS(ROW(),COLUMN()))</formula>
    </cfRule>
  </conditionalFormatting>
  <conditionalFormatting sqref="AF38">
    <cfRule type="cellIs" dxfId="184" priority="368" stopIfTrue="1" operator="notEqual">
      <formula>INDIRECT("Dummy_for_Comparison1!"&amp;ADDRESS(ROW(),COLUMN()))</formula>
    </cfRule>
  </conditionalFormatting>
  <conditionalFormatting sqref="AK38">
    <cfRule type="cellIs" dxfId="183" priority="147" stopIfTrue="1" operator="notEqual">
      <formula>INDIRECT("Dummy_for_Comparison1!"&amp;ADDRESS(ROW(),COLUMN()))</formula>
    </cfRule>
  </conditionalFormatting>
  <conditionalFormatting sqref="AP38">
    <cfRule type="cellIs" dxfId="182" priority="370" stopIfTrue="1" operator="notEqual">
      <formula>INDIRECT("Dummy_for_Comparison1!"&amp;ADDRESS(ROW(),COLUMN()))</formula>
    </cfRule>
  </conditionalFormatting>
  <conditionalFormatting sqref="AR38">
    <cfRule type="cellIs" dxfId="181" priority="369" stopIfTrue="1" operator="notEqual">
      <formula>INDIRECT("Dummy_for_Comparison1!"&amp;ADDRESS(ROW(),COLUMN()))</formula>
    </cfRule>
  </conditionalFormatting>
  <conditionalFormatting sqref="AT38">
    <cfRule type="cellIs" dxfId="180" priority="93" stopIfTrue="1" operator="notEqual">
      <formula>INDIRECT("Dummy_for_Comparison1!"&amp;ADDRESS(ROW(),COLUMN()))</formula>
    </cfRule>
  </conditionalFormatting>
  <conditionalFormatting sqref="AU38">
    <cfRule type="cellIs" dxfId="179" priority="94" stopIfTrue="1" operator="notEqual">
      <formula>INDIRECT("Dummy_for_Comparison1!"&amp;ADDRESS(ROW(),COLUMN()))</formula>
    </cfRule>
  </conditionalFormatting>
  <conditionalFormatting sqref="I39">
    <cfRule type="cellIs" dxfId="178" priority="70" stopIfTrue="1" operator="notEqual">
      <formula>INDIRECT("Dummy_for_Comparison1!"&amp;ADDRESS(ROW(),COLUMN()))</formula>
    </cfRule>
  </conditionalFormatting>
  <conditionalFormatting sqref="J39">
    <cfRule type="cellIs" dxfId="177" priority="65" stopIfTrue="1" operator="notEqual">
      <formula>INDIRECT("Dummy_for_Comparison1!"&amp;ADDRESS(ROW(),COLUMN()))</formula>
    </cfRule>
  </conditionalFormatting>
  <conditionalFormatting sqref="N39:O39">
    <cfRule type="cellIs" dxfId="176" priority="61" stopIfTrue="1" operator="notEqual">
      <formula>INDIRECT("Dummy_for_Comparison1!"&amp;ADDRESS(ROW(),COLUMN()))</formula>
    </cfRule>
  </conditionalFormatting>
  <conditionalFormatting sqref="P39:Q39">
    <cfRule type="cellIs" dxfId="175" priority="67" stopIfTrue="1" operator="notEqual">
      <formula>INDIRECT("Dummy_for_Comparison1!"&amp;ADDRESS(ROW(),COLUMN()))</formula>
    </cfRule>
  </conditionalFormatting>
  <conditionalFormatting sqref="R39">
    <cfRule type="cellIs" dxfId="174" priority="66" stopIfTrue="1" operator="notEqual">
      <formula>INDIRECT("Dummy_for_Comparison1!"&amp;ADDRESS(ROW(),COLUMN()))</formula>
    </cfRule>
  </conditionalFormatting>
  <conditionalFormatting sqref="AB39">
    <cfRule type="cellIs" dxfId="173" priority="71" stopIfTrue="1" operator="notEqual">
      <formula>INDIRECT("Dummy_for_Comparison1!"&amp;ADDRESS(ROW(),COLUMN()))</formula>
    </cfRule>
  </conditionalFormatting>
  <conditionalFormatting sqref="AE39">
    <cfRule type="cellIs" dxfId="172" priority="72" stopIfTrue="1" operator="notEqual">
      <formula>INDIRECT("Dummy_for_Comparison1!"&amp;ADDRESS(ROW(),COLUMN()))</formula>
    </cfRule>
  </conditionalFormatting>
  <conditionalFormatting sqref="AG39">
    <cfRule type="cellIs" dxfId="171" priority="68" stopIfTrue="1" operator="notEqual">
      <formula>INDIRECT("Dummy_for_Comparison1!"&amp;ADDRESS(ROW(),COLUMN()))</formula>
    </cfRule>
    <cfRule type="cellIs" dxfId="170" priority="69" stopIfTrue="1" operator="notEqual">
      <formula>INDIRECT("Dummy_for_Comparison1!"&amp;ADDRESS(ROW(),COLUMN()))</formula>
    </cfRule>
  </conditionalFormatting>
  <conditionalFormatting sqref="AK39">
    <cfRule type="cellIs" dxfId="169" priority="64" stopIfTrue="1" operator="notEqual">
      <formula>INDIRECT("Dummy_for_Comparison1!"&amp;ADDRESS(ROW(),COLUMN()))</formula>
    </cfRule>
  </conditionalFormatting>
  <conditionalFormatting sqref="AT39">
    <cfRule type="cellIs" dxfId="168" priority="62" stopIfTrue="1" operator="notEqual">
      <formula>INDIRECT("Dummy_for_Comparison1!"&amp;ADDRESS(ROW(),COLUMN()))</formula>
    </cfRule>
  </conditionalFormatting>
  <conditionalFormatting sqref="AU39">
    <cfRule type="cellIs" dxfId="167" priority="63" stopIfTrue="1" operator="notEqual">
      <formula>INDIRECT("Dummy_for_Comparison1!"&amp;ADDRESS(ROW(),COLUMN()))</formula>
    </cfRule>
  </conditionalFormatting>
  <conditionalFormatting sqref="I40">
    <cfRule type="cellIs" dxfId="166" priority="56" stopIfTrue="1" operator="notEqual">
      <formula>INDIRECT("Dummy_for_Comparison1!"&amp;ADDRESS(ROW(),COLUMN()))</formula>
    </cfRule>
  </conditionalFormatting>
  <conditionalFormatting sqref="J40">
    <cfRule type="cellIs" dxfId="165" priority="51" stopIfTrue="1" operator="notEqual">
      <formula>INDIRECT("Dummy_for_Comparison1!"&amp;ADDRESS(ROW(),COLUMN()))</formula>
    </cfRule>
  </conditionalFormatting>
  <conditionalFormatting sqref="N40:O40">
    <cfRule type="cellIs" dxfId="164" priority="47" stopIfTrue="1" operator="notEqual">
      <formula>INDIRECT("Dummy_for_Comparison1!"&amp;ADDRESS(ROW(),COLUMN()))</formula>
    </cfRule>
  </conditionalFormatting>
  <conditionalFormatting sqref="P40:Q40">
    <cfRule type="cellIs" dxfId="163" priority="53" stopIfTrue="1" operator="notEqual">
      <formula>INDIRECT("Dummy_for_Comparison1!"&amp;ADDRESS(ROW(),COLUMN()))</formula>
    </cfRule>
  </conditionalFormatting>
  <conditionalFormatting sqref="R40">
    <cfRule type="cellIs" dxfId="162" priority="52" stopIfTrue="1" operator="notEqual">
      <formula>INDIRECT("Dummy_for_Comparison1!"&amp;ADDRESS(ROW(),COLUMN()))</formula>
    </cfRule>
  </conditionalFormatting>
  <conditionalFormatting sqref="AB40">
    <cfRule type="cellIs" dxfId="161" priority="57" stopIfTrue="1" operator="notEqual">
      <formula>INDIRECT("Dummy_for_Comparison1!"&amp;ADDRESS(ROW(),COLUMN()))</formula>
    </cfRule>
  </conditionalFormatting>
  <conditionalFormatting sqref="AE40">
    <cfRule type="cellIs" dxfId="160" priority="58" stopIfTrue="1" operator="notEqual">
      <formula>INDIRECT("Dummy_for_Comparison1!"&amp;ADDRESS(ROW(),COLUMN()))</formula>
    </cfRule>
  </conditionalFormatting>
  <conditionalFormatting sqref="AG40">
    <cfRule type="cellIs" dxfId="159" priority="54" stopIfTrue="1" operator="notEqual">
      <formula>INDIRECT("Dummy_for_Comparison1!"&amp;ADDRESS(ROW(),COLUMN()))</formula>
    </cfRule>
    <cfRule type="cellIs" dxfId="158" priority="55" stopIfTrue="1" operator="notEqual">
      <formula>INDIRECT("Dummy_for_Comparison1!"&amp;ADDRESS(ROW(),COLUMN()))</formula>
    </cfRule>
  </conditionalFormatting>
  <conditionalFormatting sqref="AK40">
    <cfRule type="cellIs" dxfId="157" priority="50" stopIfTrue="1" operator="notEqual">
      <formula>INDIRECT("Dummy_for_Comparison1!"&amp;ADDRESS(ROW(),COLUMN()))</formula>
    </cfRule>
  </conditionalFormatting>
  <conditionalFormatting sqref="AT40">
    <cfRule type="cellIs" dxfId="156" priority="48" stopIfTrue="1" operator="notEqual">
      <formula>INDIRECT("Dummy_for_Comparison1!"&amp;ADDRESS(ROW(),COLUMN()))</formula>
    </cfRule>
  </conditionalFormatting>
  <conditionalFormatting sqref="AU40">
    <cfRule type="cellIs" dxfId="155" priority="49" stopIfTrue="1" operator="notEqual">
      <formula>INDIRECT("Dummy_for_Comparison1!"&amp;ADDRESS(ROW(),COLUMN()))</formula>
    </cfRule>
  </conditionalFormatting>
  <conditionalFormatting sqref="AK41">
    <cfRule type="cellIs" dxfId="154" priority="137" stopIfTrue="1" operator="notEqual">
      <formula>INDIRECT("Dummy_for_Comparison1!"&amp;ADDRESS(ROW(),COLUMN()))</formula>
    </cfRule>
  </conditionalFormatting>
  <conditionalFormatting sqref="AK43">
    <cfRule type="cellIs" dxfId="153" priority="60" stopIfTrue="1" operator="notEqual">
      <formula>INDIRECT("Dummy_for_Comparison1!"&amp;ADDRESS(ROW(),COLUMN()))</formula>
    </cfRule>
  </conditionalFormatting>
  <conditionalFormatting sqref="J41 J43">
    <cfRule type="cellIs" dxfId="152" priority="207" stopIfTrue="1" operator="notEqual">
      <formula>INDIRECT("Dummy_for_Comparison1!"&amp;ADDRESS(ROW(),COLUMN()))</formula>
    </cfRule>
  </conditionalFormatting>
  <conditionalFormatting sqref="R18:R19">
    <cfRule type="cellIs" dxfId="151" priority="297" stopIfTrue="1" operator="notEqual">
      <formula>INDIRECT("Dummy_for_Comparison1!"&amp;ADDRESS(ROW(),COLUMN()))</formula>
    </cfRule>
  </conditionalFormatting>
  <conditionalFormatting sqref="R22:R23">
    <cfRule type="cellIs" dxfId="150" priority="295" stopIfTrue="1" operator="notEqual">
      <formula>INDIRECT("Dummy_for_Comparison1!"&amp;ADDRESS(ROW(),COLUMN()))</formula>
    </cfRule>
  </conditionalFormatting>
  <conditionalFormatting sqref="R36 R38">
    <cfRule type="cellIs" dxfId="149" priority="290" stopIfTrue="1" operator="notEqual">
      <formula>INDIRECT("Dummy_for_Comparison1!"&amp;ADDRESS(ROW(),COLUMN()))</formula>
    </cfRule>
  </conditionalFormatting>
  <conditionalFormatting sqref="R41 R43">
    <cfRule type="cellIs" dxfId="148" priority="208" stopIfTrue="1" operator="notEqual">
      <formula>INDIRECT("Dummy_for_Comparison1!"&amp;ADDRESS(ROW(),COLUMN()))</formula>
    </cfRule>
  </conditionalFormatting>
  <conditionalFormatting sqref="S41 S43">
    <cfRule type="cellIs" dxfId="147" priority="165" stopIfTrue="1" operator="notEqual">
      <formula>INDIRECT("Dummy_for_Comparison1!"&amp;ADDRESS(ROW(),COLUMN()))</formula>
    </cfRule>
  </conditionalFormatting>
  <conditionalFormatting sqref="W32:W33">
    <cfRule type="cellIs" dxfId="146" priority="400" stopIfTrue="1" operator="notEqual">
      <formula>INDIRECT("Dummy_for_Comparison1!"&amp;ADDRESS(ROW(),COLUMN()))</formula>
    </cfRule>
  </conditionalFormatting>
  <conditionalFormatting sqref="X32:X33">
    <cfRule type="cellIs" dxfId="145" priority="401" stopIfTrue="1" operator="notEqual">
      <formula>INDIRECT("Dummy_for_Comparison1!"&amp;ADDRESS(ROW(),COLUMN()))</formula>
    </cfRule>
  </conditionalFormatting>
  <conditionalFormatting sqref="AB41 AB43">
    <cfRule type="cellIs" dxfId="144" priority="209" stopIfTrue="1" operator="notEqual">
      <formula>INDIRECT("Dummy_for_Comparison1!"&amp;ADDRESS(ROW(),COLUMN()))</formula>
    </cfRule>
  </conditionalFormatting>
  <conditionalFormatting sqref="AC32:AC33">
    <cfRule type="cellIs" dxfId="143" priority="399" stopIfTrue="1" operator="notEqual">
      <formula>INDIRECT("Dummy_for_Comparison1!"&amp;ADDRESS(ROW(),COLUMN()))</formula>
    </cfRule>
  </conditionalFormatting>
  <conditionalFormatting sqref="AD32:AD33">
    <cfRule type="cellIs" dxfId="142" priority="398" stopIfTrue="1" operator="notEqual">
      <formula>INDIRECT("Dummy_for_Comparison1!"&amp;ADDRESS(ROW(),COLUMN()))</formula>
    </cfRule>
  </conditionalFormatting>
  <conditionalFormatting sqref="AF31:AF33">
    <cfRule type="cellIs" dxfId="141" priority="408" stopIfTrue="1" operator="notEqual">
      <formula>INDIRECT("Dummy_for_Comparison1!"&amp;ADDRESS(ROW(),COLUMN()))</formula>
    </cfRule>
  </conditionalFormatting>
  <conditionalFormatting sqref="AT32:AT33">
    <cfRule type="cellIs" dxfId="140" priority="102" stopIfTrue="1" operator="notEqual">
      <formula>INDIRECT("Dummy_for_Comparison1!"&amp;ADDRESS(ROW(),COLUMN()))</formula>
    </cfRule>
  </conditionalFormatting>
  <conditionalFormatting sqref="AT41 AT43">
    <cfRule type="cellIs" dxfId="139" priority="85" stopIfTrue="1" operator="notEqual">
      <formula>INDIRECT("Dummy_for_Comparison1!"&amp;ADDRESS(ROW(),COLUMN()))</formula>
    </cfRule>
  </conditionalFormatting>
  <conditionalFormatting sqref="AU41 AU43">
    <cfRule type="cellIs" dxfId="138" priority="86" stopIfTrue="1" operator="notEqual">
      <formula>INDIRECT("Dummy_for_Comparison1!"&amp;ADDRESS(ROW(),COLUMN()))</formula>
    </cfRule>
  </conditionalFormatting>
  <conditionalFormatting sqref="B6 AU13 AU15">
    <cfRule type="cellIs" dxfId="137" priority="359" stopIfTrue="1" operator="notEqual">
      <formula>INDIRECT("Dummy_for_Comparison1!"&amp;ADDRESS(ROW(),COLUMN()))</formula>
    </cfRule>
  </conditionalFormatting>
  <conditionalFormatting sqref="F6:J6 AL6:AO6 S6 I8 I11 I13 I15 I17 I19 I21 I23 I25 I27 I29 I31 I33 I35 I38">
    <cfRule type="cellIs" dxfId="136" priority="360" stopIfTrue="1" operator="notEqual">
      <formula>INDIRECT("Dummy_for_Comparison1!"&amp;ADDRESS(ROW(),COLUMN()))</formula>
    </cfRule>
  </conditionalFormatting>
  <conditionalFormatting sqref="AD6:AG6 AG7:AG9 AG12:AG27 AG29:AG36 AG41 AG43 AG38">
    <cfRule type="cellIs" dxfId="135" priority="354" stopIfTrue="1" operator="notEqual">
      <formula>INDIRECT("Dummy_for_Comparison1!"&amp;ADDRESS(ROW(),COLUMN()))</formula>
    </cfRule>
  </conditionalFormatting>
  <conditionalFormatting sqref="AF6:AG6 AG7:AG9 AG12:AG27 AG29:AG36 AG41 AG43 AG38">
    <cfRule type="cellIs" dxfId="134" priority="353" stopIfTrue="1" operator="notEqual">
      <formula>INDIRECT("Dummy_for_Comparison1!"&amp;ADDRESS(ROW(),COLUMN()))</formula>
    </cfRule>
  </conditionalFormatting>
  <conditionalFormatting sqref="B12 X12:AA27 AP12:AP27 AR12:AR27 N12:O21 W13:W27 AC7 R17 AD13:AF27 J17:L17 P12:Q17 P22:Q23 P25:Q25 S13:U21 S12 J20 K16:L16 J22:J24 J26 J30 AC12:AC27 N31:O33 N23:O27 S31:U33 T30:U30 S23:U27 T22:U22 S29:U29 N29:O29 AC29:AE33 AF29:AF30 AR29:AR33 AP29:AP33 W29:AA30">
    <cfRule type="cellIs" dxfId="133" priority="418" stopIfTrue="1" operator="notEqual">
      <formula>INDIRECT("Dummy_for_Comparison1!"&amp;ADDRESS(ROW(),COLUMN()))</formula>
    </cfRule>
  </conditionalFormatting>
  <conditionalFormatting sqref="F7:H7 AL7:AO7 S7 J7">
    <cfRule type="cellIs" dxfId="132" priority="393" stopIfTrue="1" operator="notEqual">
      <formula>INDIRECT("Dummy_for_Comparison1!"&amp;ADDRESS(ROW(),COLUMN()))</formula>
    </cfRule>
  </conditionalFormatting>
  <conditionalFormatting sqref="I7 I9 I12 I14 I16 I18 I20 I22 I24 I26 I28 I30 I32 I34 I36 I41 I43">
    <cfRule type="cellIs" dxfId="131" priority="74" stopIfTrue="1" operator="notEqual">
      <formula>INDIRECT("Dummy_for_Comparison1!"&amp;ADDRESS(ROW(),COLUMN()))</formula>
    </cfRule>
  </conditionalFormatting>
  <conditionalFormatting sqref="AB7:AC7 AB13 AB16:AB17 AB19 AB21 AB23 AB25 AB27 AB29 AB31 AB33 AB38">
    <cfRule type="cellIs" dxfId="130" priority="388" stopIfTrue="1" operator="notEqual">
      <formula>INDIRECT("Dummy_for_Comparison1!"&amp;ADDRESS(ROW(),COLUMN()))</formula>
    </cfRule>
  </conditionalFormatting>
  <conditionalFormatting sqref="AD7:AF7 AD12:AE12 AE38">
    <cfRule type="cellIs" dxfId="129" priority="387" stopIfTrue="1" operator="notEqual">
      <formula>INDIRECT("Dummy_for_Comparison1!"&amp;ADDRESS(ROW(),COLUMN()))</formula>
    </cfRule>
  </conditionalFormatting>
  <conditionalFormatting sqref="F8:H8 AL8:AO8 S8 J8">
    <cfRule type="cellIs" dxfId="128" priority="189" stopIfTrue="1" operator="notEqual">
      <formula>INDIRECT("Dummy_for_Comparison1!"&amp;ADDRESS(ROW(),COLUMN()))</formula>
    </cfRule>
  </conditionalFormatting>
  <conditionalFormatting sqref="F9:H9 AL9:AO9 S9 J9">
    <cfRule type="cellIs" dxfId="127" priority="205" stopIfTrue="1" operator="notEqual">
      <formula>INDIRECT("Dummy_for_Comparison1!"&amp;ADDRESS(ROW(),COLUMN()))</formula>
    </cfRule>
  </conditionalFormatting>
  <conditionalFormatting sqref="F11:H11 AL11:AO11 S11 J11">
    <cfRule type="cellIs" dxfId="126" priority="131" stopIfTrue="1" operator="notEqual">
      <formula>INDIRECT("Dummy_for_Comparison1!"&amp;ADDRESS(ROW(),COLUMN()))</formula>
    </cfRule>
  </conditionalFormatting>
  <conditionalFormatting sqref="F12:H12 AL12 AO12 J12">
    <cfRule type="cellIs" dxfId="125" priority="419" stopIfTrue="1" operator="notEqual">
      <formula>INDIRECT("Dummy_for_Comparison1!"&amp;ADDRESS(ROW(),COLUMN()))</formula>
    </cfRule>
  </conditionalFormatting>
  <conditionalFormatting sqref="AB12:AC12 AB14:AB15 AB18 AB20 AB22 AB24 AB26 AB30 AB32">
    <cfRule type="cellIs" dxfId="124" priority="413" stopIfTrue="1" operator="notEqual">
      <formula>INDIRECT("Dummy_for_Comparison1!"&amp;ADDRESS(ROW(),COLUMN()))</formula>
    </cfRule>
  </conditionalFormatting>
  <conditionalFormatting sqref="AD12:AF12 AD13 AF13 AE20:AE22 AE24:AE26 AE29:AE30 AE32:AE33">
    <cfRule type="cellIs" dxfId="123" priority="412" stopIfTrue="1" operator="notEqual">
      <formula>INDIRECT("Dummy_for_Comparison1!"&amp;ADDRESS(ROW(),COLUMN()))</formula>
    </cfRule>
  </conditionalFormatting>
  <conditionalFormatting sqref="AU17 AU19:AU20 AU22:AU23 AU25:AU26 AU29 AU31:AU32 AU34:AU35 AU12">
    <cfRule type="cellIs" dxfId="122" priority="110" stopIfTrue="1" operator="notEqual">
      <formula>INDIRECT("Dummy_for_Comparison1!"&amp;ADDRESS(ROW(),COLUMN()))</formula>
    </cfRule>
  </conditionalFormatting>
  <conditionalFormatting sqref="AL13 AO13">
    <cfRule type="cellIs" dxfId="121" priority="414" stopIfTrue="1" operator="notEqual">
      <formula>INDIRECT("Dummy_for_Comparison1!"&amp;ADDRESS(ROW(),COLUMN()))</formula>
    </cfRule>
  </conditionalFormatting>
  <conditionalFormatting sqref="AU14 AU16 AU18 AU21 AU24 AU27 AU30 AU33 AU36">
    <cfRule type="cellIs" dxfId="120" priority="90" stopIfTrue="1" operator="notEqual">
      <formula>INDIRECT("Dummy_for_Comparison1!"&amp;ADDRESS(ROW(),COLUMN()))</formula>
    </cfRule>
  </conditionalFormatting>
  <conditionalFormatting sqref="AT20 AT18">
    <cfRule type="cellIs" dxfId="119" priority="109" stopIfTrue="1" operator="notEqual">
      <formula>INDIRECT("Dummy_for_Comparison1!"&amp;ADDRESS(ROW(),COLUMN()))</formula>
    </cfRule>
  </conditionalFormatting>
  <conditionalFormatting sqref="K19:K20 K24:K26">
    <cfRule type="cellIs" dxfId="118" priority="396" stopIfTrue="1" operator="notEqual">
      <formula>INDIRECT("Dummy_for_Comparison1!"&amp;ADDRESS(ROW(),COLUMN()))</formula>
    </cfRule>
  </conditionalFormatting>
  <conditionalFormatting sqref="L19:L20 L24:L26">
    <cfRule type="cellIs" dxfId="117" priority="395" stopIfTrue="1" operator="notEqual">
      <formula>INDIRECT("Dummy_for_Comparison1!"&amp;ADDRESS(ROW(),COLUMN()))</formula>
    </cfRule>
  </conditionalFormatting>
  <conditionalFormatting sqref="P19:Q20 P30:Q30 P26:Q26">
    <cfRule type="cellIs" dxfId="116" priority="315" stopIfTrue="1" operator="notEqual">
      <formula>INDIRECT("Dummy_for_Comparison1!"&amp;ADDRESS(ROW(),COLUMN()))</formula>
    </cfRule>
  </conditionalFormatting>
  <conditionalFormatting sqref="R20 R24">
    <cfRule type="cellIs" dxfId="115" priority="409" stopIfTrue="1" operator="notEqual">
      <formula>INDIRECT("Dummy_for_Comparison1!"&amp;ADDRESS(ROW(),COLUMN()))</formula>
    </cfRule>
  </conditionalFormatting>
  <conditionalFormatting sqref="R25:R26 R29 R31">
    <cfRule type="cellIs" dxfId="114" priority="293" stopIfTrue="1" operator="notEqual">
      <formula>INDIRECT("Dummy_for_Comparison1!"&amp;ADDRESS(ROW(),COLUMN()))</formula>
    </cfRule>
  </conditionalFormatting>
  <conditionalFormatting sqref="R27 R30">
    <cfRule type="cellIs" dxfId="113" priority="294" stopIfTrue="1" operator="notEqual">
      <formula>INDIRECT("Dummy_for_Comparison1!"&amp;ADDRESS(ROW(),COLUMN()))</formula>
    </cfRule>
  </conditionalFormatting>
  <conditionalFormatting sqref="AP28 AR28 W28:AA28 J28 AC28:AF28 N28:O28 S28:U28">
    <cfRule type="cellIs" dxfId="112" priority="84" stopIfTrue="1" operator="notEqual">
      <formula>INDIRECT("Dummy_for_Comparison1!"&amp;ADDRESS(ROW(),COLUMN()))</formula>
    </cfRule>
  </conditionalFormatting>
  <conditionalFormatting sqref="AD31 AF31:AF33">
    <cfRule type="cellIs" dxfId="111" priority="404" stopIfTrue="1" operator="notEqual">
      <formula>INDIRECT("Dummy_for_Comparison1!"&amp;ADDRESS(ROW(),COLUMN()))</formula>
    </cfRule>
  </conditionalFormatting>
  <conditionalFormatting sqref="Y32:AA33">
    <cfRule type="cellIs" dxfId="110" priority="397" stopIfTrue="1" operator="notEqual">
      <formula>INDIRECT("Dummy_for_Comparison1!"&amp;ADDRESS(ROW(),COLUMN()))</formula>
    </cfRule>
  </conditionalFormatting>
  <conditionalFormatting sqref="AD36 AF36">
    <cfRule type="cellIs" dxfId="109" priority="320" stopIfTrue="1" operator="notEqual">
      <formula>INDIRECT("Dummy_for_Comparison1!"&amp;ADDRESS(ROW(),COLUMN()))</formula>
    </cfRule>
  </conditionalFormatting>
  <conditionalFormatting sqref="AD38 AF38">
    <cfRule type="cellIs" dxfId="108" priority="364" stopIfTrue="1" operator="notEqual">
      <formula>INDIRECT("Dummy_for_Comparison1!"&amp;ADDRESS(ROW(),COLUMN()))</formula>
    </cfRule>
  </conditionalFormatting>
  <conditionalFormatting sqref="S39:U39 AC39:AF39 AR39 AP39 W39:AA39">
    <cfRule type="cellIs" dxfId="107" priority="73" stopIfTrue="1" operator="notEqual">
      <formula>INDIRECT("Dummy_for_Comparison1!"&amp;ADDRESS(ROW(),COLUMN()))</formula>
    </cfRule>
  </conditionalFormatting>
  <conditionalFormatting sqref="S40:U40 AC40:AF40 AR40 AP40 W40:AA40">
    <cfRule type="cellIs" dxfId="106" priority="59" stopIfTrue="1" operator="notEqual">
      <formula>INDIRECT("Dummy_for_Comparison1!"&amp;ADDRESS(ROW(),COLUMN()))</formula>
    </cfRule>
  </conditionalFormatting>
  <conditionalFormatting sqref="AP41 AR41 W41:AA41 AC41:AF41 N41:Q41 T41:U41 T43:U43 N43:Q43 AC43:AF43 W43:AA43 AR43 AP43">
    <cfRule type="cellIs" dxfId="105" priority="212" stopIfTrue="1" operator="notEqual">
      <formula>INDIRECT("Dummy_for_Comparison1!"&amp;ADDRESS(ROW(),COLUMN()))</formula>
    </cfRule>
  </conditionalFormatting>
  <conditionalFormatting sqref="AD41 AF41 AF43 AD43">
    <cfRule type="cellIs" dxfId="104" priority="210" stopIfTrue="1" operator="notEqual">
      <formula>INDIRECT("Dummy_for_Comparison1!"&amp;ADDRESS(ROW(),COLUMN()))</formula>
    </cfRule>
  </conditionalFormatting>
  <conditionalFormatting sqref="AL41 AO41 AO43 AL43">
    <cfRule type="cellIs" dxfId="103" priority="211" stopIfTrue="1" operator="notEqual">
      <formula>INDIRECT("Dummy_for_Comparison1!"&amp;ADDRESS(ROW(),COLUMN()))</formula>
    </cfRule>
  </conditionalFormatting>
  <conditionalFormatting sqref="AK42">
    <cfRule type="cellIs" dxfId="102" priority="37" stopIfTrue="1" operator="notEqual">
      <formula>INDIRECT("Dummy_for_Comparison1!"&amp;ADDRESS(ROW(),COLUMN()))</formula>
    </cfRule>
  </conditionalFormatting>
  <conditionalFormatting sqref="J42">
    <cfRule type="cellIs" dxfId="101" priority="39" stopIfTrue="1" operator="notEqual">
      <formula>INDIRECT("Dummy_for_Comparison1!"&amp;ADDRESS(ROW(),COLUMN()))</formula>
    </cfRule>
  </conditionalFormatting>
  <conditionalFormatting sqref="R42">
    <cfRule type="cellIs" dxfId="100" priority="40" stopIfTrue="1" operator="notEqual">
      <formula>INDIRECT("Dummy_for_Comparison1!"&amp;ADDRESS(ROW(),COLUMN()))</formula>
    </cfRule>
  </conditionalFormatting>
  <conditionalFormatting sqref="S42">
    <cfRule type="cellIs" dxfId="99" priority="38" stopIfTrue="1" operator="notEqual">
      <formula>INDIRECT("Dummy_for_Comparison1!"&amp;ADDRESS(ROW(),COLUMN()))</formula>
    </cfRule>
  </conditionalFormatting>
  <conditionalFormatting sqref="AB42">
    <cfRule type="cellIs" dxfId="98" priority="41" stopIfTrue="1" operator="notEqual">
      <formula>INDIRECT("Dummy_for_Comparison1!"&amp;ADDRESS(ROW(),COLUMN()))</formula>
    </cfRule>
  </conditionalFormatting>
  <conditionalFormatting sqref="AT42">
    <cfRule type="cellIs" dxfId="97" priority="35" stopIfTrue="1" operator="notEqual">
      <formula>INDIRECT("Dummy_for_Comparison1!"&amp;ADDRESS(ROW(),COLUMN()))</formula>
    </cfRule>
  </conditionalFormatting>
  <conditionalFormatting sqref="AU42">
    <cfRule type="cellIs" dxfId="96" priority="36" stopIfTrue="1" operator="notEqual">
      <formula>INDIRECT("Dummy_for_Comparison1!"&amp;ADDRESS(ROW(),COLUMN()))</formula>
    </cfRule>
  </conditionalFormatting>
  <conditionalFormatting sqref="AG42">
    <cfRule type="cellIs" dxfId="95" priority="46" stopIfTrue="1" operator="notEqual">
      <formula>INDIRECT("Dummy_for_Comparison1!"&amp;ADDRESS(ROW(),COLUMN()))</formula>
    </cfRule>
  </conditionalFormatting>
  <conditionalFormatting sqref="AG42">
    <cfRule type="cellIs" dxfId="94" priority="45" stopIfTrue="1" operator="notEqual">
      <formula>INDIRECT("Dummy_for_Comparison1!"&amp;ADDRESS(ROW(),COLUMN()))</formula>
    </cfRule>
  </conditionalFormatting>
  <conditionalFormatting sqref="I42">
    <cfRule type="cellIs" dxfId="93" priority="34" stopIfTrue="1" operator="notEqual">
      <formula>INDIRECT("Dummy_for_Comparison1!"&amp;ADDRESS(ROW(),COLUMN()))</formula>
    </cfRule>
  </conditionalFormatting>
  <conditionalFormatting sqref="AP42 AR42 W42:AA42 AC42:AF42 N42:Q42 T42:U42">
    <cfRule type="cellIs" dxfId="92" priority="44" stopIfTrue="1" operator="notEqual">
      <formula>INDIRECT("Dummy_for_Comparison1!"&amp;ADDRESS(ROW(),COLUMN()))</formula>
    </cfRule>
  </conditionalFormatting>
  <conditionalFormatting sqref="AD42 AF42">
    <cfRule type="cellIs" dxfId="91" priority="42" stopIfTrue="1" operator="notEqual">
      <formula>INDIRECT("Dummy_for_Comparison1!"&amp;ADDRESS(ROW(),COLUMN()))</formula>
    </cfRule>
  </conditionalFormatting>
  <conditionalFormatting sqref="AL42 AO42">
    <cfRule type="cellIs" dxfId="90" priority="43" stopIfTrue="1" operator="notEqual">
      <formula>INDIRECT("Dummy_for_Comparison1!"&amp;ADDRESS(ROW(),COLUMN()))</formula>
    </cfRule>
  </conditionalFormatting>
  <conditionalFormatting sqref="AK37">
    <cfRule type="cellIs" dxfId="89" priority="29" stopIfTrue="1" operator="notEqual">
      <formula>INDIRECT("Dummy_for_Comparison1!"&amp;ADDRESS(ROW(),COLUMN()))</formula>
    </cfRule>
  </conditionalFormatting>
  <conditionalFormatting sqref="I37">
    <cfRule type="cellIs" dxfId="88" priority="32" stopIfTrue="1" operator="notEqual">
      <formula>INDIRECT("Dummy_for_Comparison1!"&amp;ADDRESS(ROW(),COLUMN()))</formula>
    </cfRule>
  </conditionalFormatting>
  <conditionalFormatting sqref="AG37">
    <cfRule type="cellIs" dxfId="87" priority="31" stopIfTrue="1" operator="notEqual">
      <formula>INDIRECT("Dummy_for_Comparison1!"&amp;ADDRESS(ROW(),COLUMN()))</formula>
    </cfRule>
  </conditionalFormatting>
  <conditionalFormatting sqref="AG37">
    <cfRule type="cellIs" dxfId="86" priority="30" stopIfTrue="1" operator="notEqual">
      <formula>INDIRECT("Dummy_for_Comparison1!"&amp;ADDRESS(ROW(),COLUMN()))</formula>
    </cfRule>
  </conditionalFormatting>
  <conditionalFormatting sqref="AB37">
    <cfRule type="cellIs" dxfId="85" priority="33" stopIfTrue="1" operator="notEqual">
      <formula>INDIRECT("Dummy_for_Comparison1!"&amp;ADDRESS(ROW(),COLUMN()))</formula>
    </cfRule>
  </conditionalFormatting>
  <conditionalFormatting sqref="AU37">
    <cfRule type="cellIs" dxfId="84" priority="28" stopIfTrue="1" operator="notEqual">
      <formula>INDIRECT("Dummy_for_Comparison1!"&amp;ADDRESS(ROW(),COLUMN()))</formula>
    </cfRule>
  </conditionalFormatting>
  <conditionalFormatting sqref="J37">
    <cfRule type="cellIs" dxfId="83" priority="24" stopIfTrue="1" operator="notEqual">
      <formula>INDIRECT("Dummy_for_Comparison1!"&amp;ADDRESS(ROW(),COLUMN()))</formula>
    </cfRule>
  </conditionalFormatting>
  <conditionalFormatting sqref="P37:Q37">
    <cfRule type="cellIs" dxfId="82" priority="26" stopIfTrue="1" operator="notEqual">
      <formula>INDIRECT("Dummy_for_Comparison1!"&amp;ADDRESS(ROW(),COLUMN()))</formula>
    </cfRule>
  </conditionalFormatting>
  <conditionalFormatting sqref="AT37">
    <cfRule type="cellIs" dxfId="81" priority="23" stopIfTrue="1" operator="notEqual">
      <formula>INDIRECT("Dummy_for_Comparison1!"&amp;ADDRESS(ROW(),COLUMN()))</formula>
    </cfRule>
  </conditionalFormatting>
  <conditionalFormatting sqref="AP37 AR37 W37:AA37 AC37:AF37 S37:U37">
    <cfRule type="cellIs" dxfId="80" priority="27" stopIfTrue="1" operator="notEqual">
      <formula>INDIRECT("Dummy_for_Comparison1!"&amp;ADDRESS(ROW(),COLUMN()))</formula>
    </cfRule>
  </conditionalFormatting>
  <conditionalFormatting sqref="R37">
    <cfRule type="cellIs" dxfId="79" priority="25" stopIfTrue="1" operator="notEqual">
      <formula>INDIRECT("Dummy_for_Comparison1!"&amp;ADDRESS(ROW(),COLUMN()))</formula>
    </cfRule>
  </conditionalFormatting>
  <conditionalFormatting sqref="B10">
    <cfRule type="cellIs" dxfId="78" priority="18" stopIfTrue="1" operator="notEqual">
      <formula>INDIRECT("Dummy_for_Comparison1!"&amp;ADDRESS(ROW(),COLUMN()))</formula>
    </cfRule>
  </conditionalFormatting>
  <conditionalFormatting sqref="C10">
    <cfRule type="cellIs" dxfId="77" priority="4" stopIfTrue="1" operator="notEqual">
      <formula>INDIRECT("Dummy_for_Comparison1!"&amp;ADDRESS(ROW(),COLUMN()))</formula>
    </cfRule>
  </conditionalFormatting>
  <conditionalFormatting sqref="D10">
    <cfRule type="cellIs" dxfId="76" priority="17" stopIfTrue="1" operator="notEqual">
      <formula>INDIRECT("Dummy_for_Comparison1!"&amp;ADDRESS(ROW(),COLUMN()))</formula>
    </cfRule>
  </conditionalFormatting>
  <conditionalFormatting sqref="N10:O10">
    <cfRule type="cellIs" dxfId="75" priority="5" stopIfTrue="1" operator="notEqual">
      <formula>INDIRECT("Dummy_for_Comparison1!"&amp;ADDRESS(ROW(),COLUMN()))</formula>
    </cfRule>
  </conditionalFormatting>
  <conditionalFormatting sqref="P10:Q10">
    <cfRule type="cellIs" dxfId="74" priority="3" stopIfTrue="1" operator="notEqual">
      <formula>INDIRECT("Dummy_for_Comparison1!"&amp;ADDRESS(ROW(),COLUMN()))</formula>
    </cfRule>
  </conditionalFormatting>
  <conditionalFormatting sqref="R10">
    <cfRule type="cellIs" dxfId="73" priority="6" stopIfTrue="1" operator="notEqual">
      <formula>INDIRECT("Dummy_for_Comparison1!"&amp;ADDRESS(ROW(),COLUMN()))</formula>
    </cfRule>
  </conditionalFormatting>
  <conditionalFormatting sqref="T10:V10">
    <cfRule type="cellIs" dxfId="72" priority="15" stopIfTrue="1" operator="notEqual">
      <formula>INDIRECT("Dummy_for_Comparison1!"&amp;ADDRESS(ROW(),COLUMN()))</formula>
    </cfRule>
  </conditionalFormatting>
  <conditionalFormatting sqref="W10">
    <cfRule type="cellIs" dxfId="71" priority="10" stopIfTrue="1" operator="notEqual">
      <formula>INDIRECT("Dummy_for_Comparison1!"&amp;ADDRESS(ROW(),COLUMN()))</formula>
    </cfRule>
  </conditionalFormatting>
  <conditionalFormatting sqref="X10">
    <cfRule type="cellIs" dxfId="70" priority="9" stopIfTrue="1" operator="notEqual">
      <formula>INDIRECT("Dummy_for_Comparison1!"&amp;ADDRESS(ROW(),COLUMN()))</formula>
    </cfRule>
  </conditionalFormatting>
  <conditionalFormatting sqref="Y10:AA10">
    <cfRule type="cellIs" dxfId="69" priority="11" stopIfTrue="1" operator="notEqual">
      <formula>INDIRECT("Dummy_for_Comparison1!"&amp;ADDRESS(ROW(),COLUMN()))</formula>
    </cfRule>
  </conditionalFormatting>
  <conditionalFormatting sqref="AB10:AC10">
    <cfRule type="cellIs" dxfId="68" priority="14" stopIfTrue="1" operator="notEqual">
      <formula>INDIRECT("Dummy_for_Comparison1!"&amp;ADDRESS(ROW(),COLUMN()))</formula>
    </cfRule>
  </conditionalFormatting>
  <conditionalFormatting sqref="AC10">
    <cfRule type="cellIs" dxfId="67" priority="20" stopIfTrue="1" operator="notEqual">
      <formula>INDIRECT("Dummy_for_Comparison1!"&amp;ADDRESS(ROW(),COLUMN()))</formula>
    </cfRule>
  </conditionalFormatting>
  <conditionalFormatting sqref="AD10:AF10">
    <cfRule type="cellIs" dxfId="66" priority="13" stopIfTrue="1" operator="notEqual">
      <formula>INDIRECT("Dummy_for_Comparison1!"&amp;ADDRESS(ROW(),COLUMN()))</formula>
    </cfRule>
  </conditionalFormatting>
  <conditionalFormatting sqref="AF10">
    <cfRule type="cellIs" dxfId="65" priority="12" stopIfTrue="1" operator="notEqual">
      <formula>INDIRECT("Dummy_for_Comparison1!"&amp;ADDRESS(ROW(),COLUMN()))</formula>
    </cfRule>
  </conditionalFormatting>
  <conditionalFormatting sqref="AK10">
    <cfRule type="cellIs" dxfId="64" priority="2" stopIfTrue="1" operator="notEqual">
      <formula>INDIRECT("Dummy_for_Comparison1!"&amp;ADDRESS(ROW(),COLUMN()))</formula>
    </cfRule>
  </conditionalFormatting>
  <conditionalFormatting sqref="AP10">
    <cfRule type="cellIs" dxfId="63" priority="8" stopIfTrue="1" operator="notEqual">
      <formula>INDIRECT("Dummy_for_Comparison1!"&amp;ADDRESS(ROW(),COLUMN()))</formula>
    </cfRule>
  </conditionalFormatting>
  <conditionalFormatting sqref="AQ10">
    <cfRule type="cellIs" dxfId="62" priority="16" stopIfTrue="1" operator="notEqual">
      <formula>INDIRECT("Dummy_for_Comparison1!"&amp;ADDRESS(ROW(),COLUMN()))</formula>
    </cfRule>
  </conditionalFormatting>
  <conditionalFormatting sqref="AR10">
    <cfRule type="cellIs" dxfId="61" priority="7" stopIfTrue="1" operator="notEqual">
      <formula>INDIRECT("Dummy_for_Comparison1!"&amp;ADDRESS(ROW(),COLUMN()))</formula>
    </cfRule>
  </conditionalFormatting>
  <conditionalFormatting sqref="AG10">
    <cfRule type="cellIs" dxfId="60" priority="22" stopIfTrue="1" operator="notEqual">
      <formula>INDIRECT("Dummy_for_Comparison1!"&amp;ADDRESS(ROW(),COLUMN()))</formula>
    </cfRule>
  </conditionalFormatting>
  <conditionalFormatting sqref="AG10">
    <cfRule type="cellIs" dxfId="59" priority="21" stopIfTrue="1" operator="notEqual">
      <formula>INDIRECT("Dummy_for_Comparison1!"&amp;ADDRESS(ROW(),COLUMN()))</formula>
    </cfRule>
  </conditionalFormatting>
  <conditionalFormatting sqref="I10">
    <cfRule type="cellIs" dxfId="58" priority="1" stopIfTrue="1" operator="notEqual">
      <formula>INDIRECT("Dummy_for_Comparison1!"&amp;ADDRESS(ROW(),COLUMN()))</formula>
    </cfRule>
  </conditionalFormatting>
  <conditionalFormatting sqref="F10:H10 AL10:AO10 S10 J10">
    <cfRule type="cellIs" dxfId="57" priority="19" stopIfTrue="1" operator="notEqual">
      <formula>INDIRECT("Dummy_for_Comparison1!"&amp;ADDRESS(ROW(),COLUMN()))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>
      <selection activeCell="F6" sqref="F6"/>
    </sheetView>
  </sheetViews>
  <sheetFormatPr defaultColWidth="9" defaultRowHeight="14.25" x14ac:dyDescent="0.2"/>
  <cols>
    <col min="5" max="5" width="14" style="4" customWidth="1"/>
    <col min="6" max="6" width="15.25" style="4" customWidth="1"/>
    <col min="7" max="7" width="15.625" style="4" customWidth="1"/>
  </cols>
  <sheetData>
    <row r="1" spans="1:7" x14ac:dyDescent="0.2">
      <c r="A1" s="7" t="s">
        <v>0</v>
      </c>
      <c r="B1" s="8" t="s">
        <v>1</v>
      </c>
      <c r="C1" s="7" t="s">
        <v>2</v>
      </c>
      <c r="D1" s="7" t="s">
        <v>3</v>
      </c>
      <c r="E1" s="9" t="s">
        <v>4</v>
      </c>
      <c r="F1" s="9" t="s">
        <v>5</v>
      </c>
      <c r="G1" s="9" t="s">
        <v>6</v>
      </c>
    </row>
    <row r="2" spans="1:7" x14ac:dyDescent="0.2">
      <c r="A2" s="7" t="s">
        <v>7</v>
      </c>
      <c r="B2" s="10" t="s">
        <v>8</v>
      </c>
      <c r="C2" s="10" t="s">
        <v>9</v>
      </c>
      <c r="D2" s="10" t="s">
        <v>10</v>
      </c>
      <c r="E2" s="11" t="s">
        <v>11</v>
      </c>
      <c r="F2" s="11" t="s">
        <v>12</v>
      </c>
      <c r="G2" s="11" t="s">
        <v>13</v>
      </c>
    </row>
    <row r="3" spans="1:7" ht="28.5" x14ac:dyDescent="0.2">
      <c r="A3" s="7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7" t="s">
        <v>18</v>
      </c>
      <c r="G3" s="7" t="s">
        <v>18</v>
      </c>
    </row>
    <row r="4" spans="1:7" x14ac:dyDescent="0.2">
      <c r="A4" s="7" t="s">
        <v>19</v>
      </c>
      <c r="B4" s="7" t="s">
        <v>20</v>
      </c>
      <c r="C4" s="7" t="s">
        <v>21</v>
      </c>
      <c r="D4" s="7" t="s">
        <v>21</v>
      </c>
      <c r="E4" s="7" t="s">
        <v>22</v>
      </c>
      <c r="F4" s="7" t="s">
        <v>22</v>
      </c>
      <c r="G4" s="7" t="s">
        <v>22</v>
      </c>
    </row>
    <row r="5" spans="1:7" x14ac:dyDescent="0.2">
      <c r="A5" s="7" t="s">
        <v>23</v>
      </c>
      <c r="B5" s="7"/>
      <c r="C5" s="7"/>
      <c r="D5" s="7"/>
      <c r="E5" s="7"/>
      <c r="F5" s="7"/>
      <c r="G5" s="7"/>
    </row>
    <row r="6" spans="1:7" x14ac:dyDescent="0.2">
      <c r="A6" s="6"/>
      <c r="B6" s="6" t="s">
        <v>24</v>
      </c>
      <c r="C6" s="6" t="s">
        <v>25</v>
      </c>
      <c r="D6" s="6" t="s">
        <v>25</v>
      </c>
      <c r="E6" s="6" t="s">
        <v>26</v>
      </c>
      <c r="F6" s="6" t="s">
        <v>27</v>
      </c>
      <c r="G6" s="6" t="s">
        <v>28</v>
      </c>
    </row>
    <row r="7" spans="1:7" x14ac:dyDescent="0.2">
      <c r="A7" s="6"/>
      <c r="B7" s="6" t="s">
        <v>29</v>
      </c>
      <c r="C7" s="6" t="s">
        <v>30</v>
      </c>
      <c r="D7" s="6" t="s">
        <v>30</v>
      </c>
      <c r="E7" s="6" t="s">
        <v>26</v>
      </c>
      <c r="F7" s="6" t="s">
        <v>27</v>
      </c>
      <c r="G7" s="6" t="s">
        <v>28</v>
      </c>
    </row>
    <row r="8" spans="1:7" x14ac:dyDescent="0.2">
      <c r="A8" s="6"/>
      <c r="B8" s="6" t="s">
        <v>31</v>
      </c>
      <c r="C8" s="6" t="s">
        <v>25</v>
      </c>
      <c r="D8" s="6" t="s">
        <v>25</v>
      </c>
      <c r="E8" s="6" t="s">
        <v>26</v>
      </c>
      <c r="F8" s="6" t="s">
        <v>27</v>
      </c>
      <c r="G8" s="6" t="s">
        <v>28</v>
      </c>
    </row>
    <row r="9" spans="1:7" x14ac:dyDescent="0.2">
      <c r="A9" s="6"/>
      <c r="B9" s="6" t="s">
        <v>32</v>
      </c>
      <c r="C9" s="6" t="s">
        <v>30</v>
      </c>
      <c r="D9" s="6" t="s">
        <v>30</v>
      </c>
      <c r="E9" s="6" t="s">
        <v>26</v>
      </c>
      <c r="F9" s="6" t="s">
        <v>27</v>
      </c>
      <c r="G9" s="6" t="s">
        <v>28</v>
      </c>
    </row>
    <row r="10" spans="1:7" ht="28.5" x14ac:dyDescent="0.2">
      <c r="A10" s="6"/>
      <c r="B10" s="6" t="s">
        <v>33</v>
      </c>
      <c r="C10" s="6" t="s">
        <v>34</v>
      </c>
      <c r="D10" s="6" t="s">
        <v>34</v>
      </c>
      <c r="E10" s="6" t="s">
        <v>26</v>
      </c>
      <c r="F10" s="6" t="s">
        <v>27</v>
      </c>
      <c r="G10" s="6" t="s">
        <v>28</v>
      </c>
    </row>
    <row r="11" spans="1:7" x14ac:dyDescent="0.2">
      <c r="A11" s="6"/>
      <c r="B11" s="6">
        <v>2001</v>
      </c>
      <c r="C11" s="6" t="s">
        <v>35</v>
      </c>
      <c r="D11" s="6" t="s">
        <v>36</v>
      </c>
      <c r="E11" s="6" t="s">
        <v>37</v>
      </c>
      <c r="F11" s="6" t="s">
        <v>27</v>
      </c>
      <c r="G11" s="6" t="s">
        <v>38</v>
      </c>
    </row>
    <row r="12" spans="1:7" x14ac:dyDescent="0.2">
      <c r="A12" s="6"/>
      <c r="B12" s="6" t="s">
        <v>39</v>
      </c>
      <c r="C12" s="6" t="s">
        <v>16</v>
      </c>
      <c r="D12" s="6" t="s">
        <v>17</v>
      </c>
      <c r="E12" s="6" t="s">
        <v>40</v>
      </c>
      <c r="F12" s="6">
        <v>1.05</v>
      </c>
      <c r="G12" s="6">
        <v>0.99</v>
      </c>
    </row>
    <row r="13" spans="1:7" x14ac:dyDescent="0.2">
      <c r="A13" s="6"/>
      <c r="B13" s="6">
        <v>2005</v>
      </c>
      <c r="C13" s="6" t="s">
        <v>41</v>
      </c>
      <c r="D13" s="6" t="s">
        <v>42</v>
      </c>
      <c r="E13" s="6" t="s">
        <v>43</v>
      </c>
      <c r="F13" s="6">
        <v>0.98</v>
      </c>
      <c r="G13" s="6">
        <v>0.94</v>
      </c>
    </row>
    <row r="14" spans="1:7" x14ac:dyDescent="0.2">
      <c r="A14" s="6"/>
      <c r="B14" s="6">
        <v>2007</v>
      </c>
      <c r="C14" s="6" t="s">
        <v>44</v>
      </c>
      <c r="D14" s="6" t="s">
        <v>45</v>
      </c>
      <c r="E14" s="6" t="s">
        <v>46</v>
      </c>
      <c r="F14" s="6">
        <v>1.04</v>
      </c>
      <c r="G14" s="6">
        <v>0.91</v>
      </c>
    </row>
    <row r="15" spans="1:7" x14ac:dyDescent="0.2">
      <c r="A15" s="6"/>
      <c r="B15" s="6">
        <v>2008</v>
      </c>
      <c r="C15" s="6" t="s">
        <v>47</v>
      </c>
      <c r="D15" s="6" t="s">
        <v>48</v>
      </c>
      <c r="E15" s="6" t="s">
        <v>49</v>
      </c>
      <c r="F15" s="6">
        <v>1</v>
      </c>
      <c r="G15" s="6">
        <v>1</v>
      </c>
    </row>
    <row r="16" spans="1:7" x14ac:dyDescent="0.2">
      <c r="A16" s="6"/>
      <c r="B16" s="6">
        <v>2010</v>
      </c>
      <c r="C16" s="6"/>
      <c r="D16" s="6" t="s">
        <v>50</v>
      </c>
      <c r="E16" s="6" t="s">
        <v>49</v>
      </c>
      <c r="F16" s="6">
        <v>1</v>
      </c>
      <c r="G16" s="6">
        <v>1</v>
      </c>
    </row>
    <row r="17" spans="1:7" x14ac:dyDescent="0.2">
      <c r="A17" s="6"/>
      <c r="B17" s="6">
        <v>2011</v>
      </c>
      <c r="C17" s="6" t="s">
        <v>51</v>
      </c>
      <c r="D17" s="6" t="s">
        <v>52</v>
      </c>
      <c r="E17" s="6" t="s">
        <v>49</v>
      </c>
      <c r="F17" s="6">
        <v>1.05</v>
      </c>
      <c r="G17" s="6">
        <v>0.9</v>
      </c>
    </row>
    <row r="18" spans="1:7" x14ac:dyDescent="0.2">
      <c r="A18" s="6"/>
      <c r="B18" s="6" t="s">
        <v>53</v>
      </c>
      <c r="C18" s="6" t="s">
        <v>54</v>
      </c>
      <c r="D18" s="6" t="s">
        <v>55</v>
      </c>
      <c r="E18" s="6" t="s">
        <v>49</v>
      </c>
      <c r="F18" s="6" t="s">
        <v>27</v>
      </c>
      <c r="G18" s="6" t="s">
        <v>27</v>
      </c>
    </row>
    <row r="19" spans="1:7" x14ac:dyDescent="0.2">
      <c r="A19" s="6"/>
      <c r="B19" s="6">
        <v>2013</v>
      </c>
      <c r="C19" s="6"/>
      <c r="D19" s="6" t="s">
        <v>56</v>
      </c>
      <c r="E19" s="6" t="s">
        <v>49</v>
      </c>
      <c r="F19" s="6">
        <v>1</v>
      </c>
      <c r="G19" s="6">
        <v>1</v>
      </c>
    </row>
    <row r="20" spans="1:7" x14ac:dyDescent="0.2">
      <c r="A20" s="6"/>
      <c r="B20" s="6">
        <v>2014</v>
      </c>
      <c r="C20" s="6" t="s">
        <v>57</v>
      </c>
      <c r="D20" s="6" t="s">
        <v>58</v>
      </c>
      <c r="E20" s="6" t="s">
        <v>59</v>
      </c>
      <c r="F20" s="6">
        <v>0.93</v>
      </c>
      <c r="G20" s="6">
        <v>1.08</v>
      </c>
    </row>
    <row r="21" spans="1:7" x14ac:dyDescent="0.2">
      <c r="A21" s="6"/>
      <c r="B21" s="6">
        <v>2015</v>
      </c>
      <c r="C21" s="6" t="s">
        <v>60</v>
      </c>
      <c r="D21" s="6" t="s">
        <v>61</v>
      </c>
      <c r="E21" s="6" t="s">
        <v>49</v>
      </c>
      <c r="F21" s="6">
        <v>1</v>
      </c>
      <c r="G21" s="6">
        <v>1</v>
      </c>
    </row>
    <row r="22" spans="1:7" x14ac:dyDescent="0.2">
      <c r="A22" s="6"/>
      <c r="B22" s="6">
        <v>2016</v>
      </c>
      <c r="C22" s="6" t="s">
        <v>62</v>
      </c>
      <c r="D22" s="6" t="s">
        <v>63</v>
      </c>
      <c r="E22" s="6" t="s">
        <v>49</v>
      </c>
      <c r="F22" s="6">
        <v>1</v>
      </c>
      <c r="G22" s="6">
        <v>1</v>
      </c>
    </row>
    <row r="23" spans="1:7" x14ac:dyDescent="0.2">
      <c r="A23" s="6"/>
      <c r="B23" s="6">
        <v>2017</v>
      </c>
      <c r="C23" s="6"/>
      <c r="D23" s="6" t="s">
        <v>64</v>
      </c>
      <c r="E23" s="6" t="s">
        <v>49</v>
      </c>
      <c r="F23" s="6">
        <v>1</v>
      </c>
      <c r="G23" s="6">
        <v>1</v>
      </c>
    </row>
    <row r="24" spans="1:7" x14ac:dyDescent="0.2">
      <c r="A24" s="6"/>
      <c r="B24" s="6">
        <v>2018</v>
      </c>
      <c r="C24" s="6" t="s">
        <v>65</v>
      </c>
      <c r="D24" s="6" t="s">
        <v>66</v>
      </c>
      <c r="E24" s="6" t="s">
        <v>67</v>
      </c>
      <c r="F24" s="6">
        <v>0.95</v>
      </c>
      <c r="G24" s="6">
        <v>1.03</v>
      </c>
    </row>
    <row r="25" spans="1:7" x14ac:dyDescent="0.2">
      <c r="A25" s="6"/>
      <c r="B25" s="6">
        <v>2019</v>
      </c>
      <c r="C25" s="6"/>
      <c r="D25" s="6" t="s">
        <v>68</v>
      </c>
      <c r="E25" s="6" t="s">
        <v>49</v>
      </c>
      <c r="F25" s="6">
        <v>1</v>
      </c>
      <c r="G25" s="6">
        <v>1</v>
      </c>
    </row>
    <row r="26" spans="1:7" x14ac:dyDescent="0.2">
      <c r="A26" s="6"/>
      <c r="B26" s="6">
        <v>2020</v>
      </c>
      <c r="C26" s="6" t="s">
        <v>69</v>
      </c>
      <c r="D26" s="6" t="s">
        <v>70</v>
      </c>
      <c r="E26" s="6" t="s">
        <v>37</v>
      </c>
      <c r="F26" s="6" t="s">
        <v>71</v>
      </c>
      <c r="G26" s="6" t="s">
        <v>26</v>
      </c>
    </row>
    <row r="27" spans="1:7" x14ac:dyDescent="0.2">
      <c r="A27" s="6"/>
      <c r="B27" s="6">
        <v>2021</v>
      </c>
      <c r="C27" s="6"/>
      <c r="D27" s="6" t="s">
        <v>72</v>
      </c>
      <c r="E27" s="6" t="s">
        <v>49</v>
      </c>
      <c r="F27" s="6" t="s">
        <v>73</v>
      </c>
      <c r="G27" s="6">
        <v>1</v>
      </c>
    </row>
    <row r="28" spans="1:7" x14ac:dyDescent="0.2">
      <c r="A28" s="6"/>
      <c r="B28" s="6">
        <v>2022</v>
      </c>
      <c r="C28" s="6" t="s">
        <v>74</v>
      </c>
      <c r="D28" s="6" t="s">
        <v>75</v>
      </c>
      <c r="E28" s="6" t="s">
        <v>59</v>
      </c>
      <c r="F28" s="6" t="s">
        <v>71</v>
      </c>
      <c r="G28" s="6" t="s">
        <v>26</v>
      </c>
    </row>
    <row r="29" spans="1:7" x14ac:dyDescent="0.2">
      <c r="A29" s="6"/>
      <c r="B29" s="6">
        <v>2023</v>
      </c>
      <c r="C29" s="6" t="s">
        <v>76</v>
      </c>
      <c r="D29" s="6" t="s">
        <v>77</v>
      </c>
      <c r="E29" s="6" t="s">
        <v>78</v>
      </c>
      <c r="F29" s="6" t="s">
        <v>79</v>
      </c>
      <c r="G29" s="6" t="s">
        <v>26</v>
      </c>
    </row>
    <row r="30" spans="1:7" x14ac:dyDescent="0.2">
      <c r="A30" s="6"/>
      <c r="B30" s="6" t="s">
        <v>80</v>
      </c>
      <c r="C30" s="6" t="s">
        <v>81</v>
      </c>
      <c r="D30" s="6" t="s">
        <v>82</v>
      </c>
      <c r="E30" s="6" t="s">
        <v>83</v>
      </c>
      <c r="F30" s="6">
        <v>1.03</v>
      </c>
      <c r="G30" s="6">
        <v>0.97</v>
      </c>
    </row>
    <row r="31" spans="1:7" x14ac:dyDescent="0.2">
      <c r="A31" s="6"/>
      <c r="B31" s="6" t="s">
        <v>84</v>
      </c>
      <c r="C31" s="6" t="s">
        <v>85</v>
      </c>
      <c r="D31" s="6" t="s">
        <v>86</v>
      </c>
      <c r="E31" s="6" t="s">
        <v>49</v>
      </c>
      <c r="F31" s="6">
        <v>1</v>
      </c>
      <c r="G31" s="6">
        <v>1</v>
      </c>
    </row>
    <row r="32" spans="1:7" x14ac:dyDescent="0.2">
      <c r="A32" s="6"/>
      <c r="B32" s="6">
        <v>2028</v>
      </c>
      <c r="C32" s="6" t="s">
        <v>87</v>
      </c>
      <c r="D32" s="6" t="s">
        <v>88</v>
      </c>
      <c r="E32" s="6" t="s">
        <v>49</v>
      </c>
      <c r="F32" s="6">
        <v>1</v>
      </c>
      <c r="G32" s="6">
        <v>1</v>
      </c>
    </row>
    <row r="33" spans="1:7" x14ac:dyDescent="0.2">
      <c r="A33" s="6"/>
      <c r="B33" s="6" t="s">
        <v>89</v>
      </c>
      <c r="C33" s="6" t="s">
        <v>90</v>
      </c>
      <c r="D33" s="6" t="s">
        <v>91</v>
      </c>
      <c r="E33" s="6" t="s">
        <v>49</v>
      </c>
      <c r="F33" s="6" t="s">
        <v>27</v>
      </c>
      <c r="G33" s="6">
        <v>1</v>
      </c>
    </row>
    <row r="34" spans="1:7" x14ac:dyDescent="0.2">
      <c r="A34" s="6"/>
      <c r="B34" s="6" t="s">
        <v>92</v>
      </c>
      <c r="C34" s="6" t="s">
        <v>93</v>
      </c>
      <c r="D34" s="6" t="s">
        <v>94</v>
      </c>
      <c r="E34" s="6" t="s">
        <v>37</v>
      </c>
      <c r="F34" s="6" t="s">
        <v>27</v>
      </c>
      <c r="G34" s="6" t="s">
        <v>26</v>
      </c>
    </row>
    <row r="35" spans="1:7" x14ac:dyDescent="0.2">
      <c r="A35" s="6"/>
      <c r="B35" s="6" t="s">
        <v>95</v>
      </c>
      <c r="C35" s="6" t="s">
        <v>96</v>
      </c>
      <c r="D35" s="6" t="s">
        <v>97</v>
      </c>
      <c r="E35" s="6" t="s">
        <v>49</v>
      </c>
      <c r="F35" s="6" t="s">
        <v>27</v>
      </c>
      <c r="G35" s="6" t="s">
        <v>27</v>
      </c>
    </row>
    <row r="36" spans="1:7" x14ac:dyDescent="0.2">
      <c r="A36" s="6"/>
      <c r="B36" s="6" t="s">
        <v>98</v>
      </c>
      <c r="C36" s="6" t="s">
        <v>99</v>
      </c>
      <c r="D36" s="6" t="s">
        <v>100</v>
      </c>
      <c r="E36" s="6" t="s">
        <v>49</v>
      </c>
      <c r="F36" s="6" t="s">
        <v>27</v>
      </c>
      <c r="G36" s="6" t="s">
        <v>27</v>
      </c>
    </row>
    <row r="37" spans="1:7" x14ac:dyDescent="0.2">
      <c r="A37" s="6"/>
      <c r="B37" s="6" t="s">
        <v>101</v>
      </c>
      <c r="C37" s="6" t="s">
        <v>102</v>
      </c>
      <c r="D37" s="6" t="s">
        <v>103</v>
      </c>
      <c r="E37" s="6" t="s">
        <v>59</v>
      </c>
      <c r="F37" s="6" t="s">
        <v>71</v>
      </c>
      <c r="G37" s="6" t="s">
        <v>26</v>
      </c>
    </row>
    <row r="38" spans="1:7" x14ac:dyDescent="0.2">
      <c r="A38" s="6"/>
      <c r="B38" s="6" t="s">
        <v>104</v>
      </c>
      <c r="C38" s="6" t="s">
        <v>105</v>
      </c>
      <c r="D38" s="6" t="s">
        <v>106</v>
      </c>
      <c r="E38" s="6" t="s">
        <v>59</v>
      </c>
      <c r="F38" s="6" t="s">
        <v>71</v>
      </c>
      <c r="G38" s="6" t="s">
        <v>26</v>
      </c>
    </row>
    <row r="39" spans="1:7" x14ac:dyDescent="0.2">
      <c r="A39" s="6"/>
      <c r="B39" s="6" t="s">
        <v>107</v>
      </c>
      <c r="C39" s="6" t="s">
        <v>108</v>
      </c>
      <c r="D39" s="6" t="s">
        <v>109</v>
      </c>
      <c r="E39" s="6" t="s">
        <v>49</v>
      </c>
      <c r="F39" s="6" t="s">
        <v>27</v>
      </c>
      <c r="G39" s="6" t="s">
        <v>27</v>
      </c>
    </row>
    <row r="40" spans="1:7" x14ac:dyDescent="0.2">
      <c r="A40" s="6"/>
      <c r="B40" s="6" t="s">
        <v>110</v>
      </c>
      <c r="C40" s="6" t="s">
        <v>111</v>
      </c>
      <c r="D40" s="6" t="s">
        <v>112</v>
      </c>
      <c r="E40" s="6" t="s">
        <v>49</v>
      </c>
      <c r="F40" s="6" t="s">
        <v>27</v>
      </c>
      <c r="G40" s="6" t="s">
        <v>27</v>
      </c>
    </row>
  </sheetData>
  <phoneticPr fontId="0" type="noConversion"/>
  <conditionalFormatting sqref="B6">
    <cfRule type="cellIs" dxfId="56" priority="75" stopIfTrue="1" operator="notEqual">
      <formula>INDIRECT("Dummy_for_Comparison1!"&amp;ADDRESS(ROW(),COLUMN()))</formula>
    </cfRule>
  </conditionalFormatting>
  <conditionalFormatting sqref="C6">
    <cfRule type="cellIs" dxfId="55" priority="13" stopIfTrue="1" operator="notEqual">
      <formula>INDIRECT("Dummy_for_Comparison1!"&amp;ADDRESS(ROW(),COLUMN()))</formula>
    </cfRule>
  </conditionalFormatting>
  <conditionalFormatting sqref="D6">
    <cfRule type="cellIs" dxfId="54" priority="14" stopIfTrue="1" operator="notEqual">
      <formula>INDIRECT("Dummy_for_Comparison1!"&amp;ADDRESS(ROW(),COLUMN()))</formula>
    </cfRule>
  </conditionalFormatting>
  <conditionalFormatting sqref="E6">
    <cfRule type="cellIs" dxfId="53" priority="56" stopIfTrue="1" operator="notEqual">
      <formula>INDIRECT("Dummy_for_Comparison1!"&amp;ADDRESS(ROW(),COLUMN()))</formula>
    </cfRule>
  </conditionalFormatting>
  <conditionalFormatting sqref="F6">
    <cfRule type="cellIs" dxfId="52" priority="55" stopIfTrue="1" operator="notEqual">
      <formula>INDIRECT("Dummy_for_Comparison1!"&amp;ADDRESS(ROW(),COLUMN()))</formula>
    </cfRule>
  </conditionalFormatting>
  <conditionalFormatting sqref="G6">
    <cfRule type="cellIs" dxfId="51" priority="57" stopIfTrue="1" operator="notEqual">
      <formula>INDIRECT("Dummy_for_Comparison1!"&amp;ADDRESS(ROW(),COLUMN()))</formula>
    </cfRule>
  </conditionalFormatting>
  <conditionalFormatting sqref="B7">
    <cfRule type="cellIs" dxfId="50" priority="76" stopIfTrue="1" operator="notEqual">
      <formula>INDIRECT("Dummy_for_Comparison1!"&amp;ADDRESS(ROW(),COLUMN()))</formula>
    </cfRule>
  </conditionalFormatting>
  <conditionalFormatting sqref="C7">
    <cfRule type="cellIs" dxfId="49" priority="15" stopIfTrue="1" operator="notEqual">
      <formula>INDIRECT("Dummy_for_Comparison1!"&amp;ADDRESS(ROW(),COLUMN()))</formula>
    </cfRule>
  </conditionalFormatting>
  <conditionalFormatting sqref="D7">
    <cfRule type="cellIs" dxfId="48" priority="16" stopIfTrue="1" operator="notEqual">
      <formula>INDIRECT("Dummy_for_Comparison1!"&amp;ADDRESS(ROW(),COLUMN()))</formula>
    </cfRule>
  </conditionalFormatting>
  <conditionalFormatting sqref="E7">
    <cfRule type="cellIs" dxfId="47" priority="4" stopIfTrue="1" operator="notEqual">
      <formula>INDIRECT("Dummy_for_Comparison1!"&amp;ADDRESS(ROW(),COLUMN()))</formula>
    </cfRule>
  </conditionalFormatting>
  <conditionalFormatting sqref="F7">
    <cfRule type="cellIs" dxfId="46" priority="61" stopIfTrue="1" operator="notEqual">
      <formula>INDIRECT("Dummy_for_Comparison1!"&amp;ADDRESS(ROW(),COLUMN()))</formula>
    </cfRule>
  </conditionalFormatting>
  <conditionalFormatting sqref="G7">
    <cfRule type="cellIs" dxfId="45" priority="63" stopIfTrue="1" operator="notEqual">
      <formula>INDIRECT("Dummy_for_Comparison1!"&amp;ADDRESS(ROW(),COLUMN()))</formula>
    </cfRule>
  </conditionalFormatting>
  <conditionalFormatting sqref="B8">
    <cfRule type="cellIs" dxfId="44" priority="73" stopIfTrue="1" operator="notEqual">
      <formula>INDIRECT("Dummy_for_Comparison1!"&amp;ADDRESS(ROW(),COLUMN()))</formula>
    </cfRule>
  </conditionalFormatting>
  <conditionalFormatting sqref="C8">
    <cfRule type="cellIs" dxfId="43" priority="9" stopIfTrue="1" operator="notEqual">
      <formula>INDIRECT("Dummy_for_Comparison1!"&amp;ADDRESS(ROW(),COLUMN()))</formula>
    </cfRule>
  </conditionalFormatting>
  <conditionalFormatting sqref="D8">
    <cfRule type="cellIs" dxfId="42" priority="10" stopIfTrue="1" operator="notEqual">
      <formula>INDIRECT("Dummy_for_Comparison1!"&amp;ADDRESS(ROW(),COLUMN()))</formula>
    </cfRule>
  </conditionalFormatting>
  <conditionalFormatting sqref="E8">
    <cfRule type="cellIs" dxfId="41" priority="3" stopIfTrue="1" operator="notEqual">
      <formula>INDIRECT("Dummy_for_Comparison1!"&amp;ADDRESS(ROW(),COLUMN()))</formula>
    </cfRule>
  </conditionalFormatting>
  <conditionalFormatting sqref="F8">
    <cfRule type="cellIs" dxfId="40" priority="39" stopIfTrue="1" operator="notEqual">
      <formula>INDIRECT("Dummy_for_Comparison1!"&amp;ADDRESS(ROW(),COLUMN()))</formula>
    </cfRule>
  </conditionalFormatting>
  <conditionalFormatting sqref="G8">
    <cfRule type="cellIs" dxfId="39" priority="41" stopIfTrue="1" operator="notEqual">
      <formula>INDIRECT("Dummy_for_Comparison1!"&amp;ADDRESS(ROW(),COLUMN()))</formula>
    </cfRule>
  </conditionalFormatting>
  <conditionalFormatting sqref="B9">
    <cfRule type="cellIs" dxfId="38" priority="74" stopIfTrue="1" operator="notEqual">
      <formula>INDIRECT("Dummy_for_Comparison1!"&amp;ADDRESS(ROW(),COLUMN()))</formula>
    </cfRule>
  </conditionalFormatting>
  <conditionalFormatting sqref="C9">
    <cfRule type="cellIs" dxfId="37" priority="11" stopIfTrue="1" operator="notEqual">
      <formula>INDIRECT("Dummy_for_Comparison1!"&amp;ADDRESS(ROW(),COLUMN()))</formula>
    </cfRule>
  </conditionalFormatting>
  <conditionalFormatting sqref="D9">
    <cfRule type="cellIs" dxfId="36" priority="12" stopIfTrue="1" operator="notEqual">
      <formula>INDIRECT("Dummy_for_Comparison1!"&amp;ADDRESS(ROW(),COLUMN()))</formula>
    </cfRule>
  </conditionalFormatting>
  <conditionalFormatting sqref="E9">
    <cfRule type="cellIs" dxfId="35" priority="2" stopIfTrue="1" operator="notEqual">
      <formula>INDIRECT("Dummy_for_Comparison1!"&amp;ADDRESS(ROW(),COLUMN()))</formula>
    </cfRule>
  </conditionalFormatting>
  <conditionalFormatting sqref="F9">
    <cfRule type="cellIs" dxfId="34" priority="42" stopIfTrue="1" operator="notEqual">
      <formula>INDIRECT("Dummy_for_Comparison1!"&amp;ADDRESS(ROW(),COLUMN()))</formula>
    </cfRule>
  </conditionalFormatting>
  <conditionalFormatting sqref="G9">
    <cfRule type="cellIs" dxfId="33" priority="44" stopIfTrue="1" operator="notEqual">
      <formula>INDIRECT("Dummy_for_Comparison1!"&amp;ADDRESS(ROW(),COLUMN()))</formula>
    </cfRule>
  </conditionalFormatting>
  <conditionalFormatting sqref="B10">
    <cfRule type="cellIs" dxfId="32" priority="72" stopIfTrue="1" operator="notEqual">
      <formula>INDIRECT("Dummy_for_Comparison1!"&amp;ADDRESS(ROW(),COLUMN()))</formula>
    </cfRule>
  </conditionalFormatting>
  <conditionalFormatting sqref="C10">
    <cfRule type="cellIs" dxfId="31" priority="8" stopIfTrue="1" operator="notEqual">
      <formula>INDIRECT("Dummy_for_Comparison1!"&amp;ADDRESS(ROW(),COLUMN()))</formula>
    </cfRule>
  </conditionalFormatting>
  <conditionalFormatting sqref="D10">
    <cfRule type="cellIs" dxfId="30" priority="7" stopIfTrue="1" operator="notEqual">
      <formula>INDIRECT("Dummy_for_Comparison1!"&amp;ADDRESS(ROW(),COLUMN()))</formula>
    </cfRule>
  </conditionalFormatting>
  <conditionalFormatting sqref="E10">
    <cfRule type="cellIs" dxfId="29" priority="1" stopIfTrue="1" operator="notEqual">
      <formula>INDIRECT("Dummy_for_Comparison1!"&amp;ADDRESS(ROW(),COLUMN()))</formula>
    </cfRule>
  </conditionalFormatting>
  <conditionalFormatting sqref="F10">
    <cfRule type="cellIs" dxfId="28" priority="36" stopIfTrue="1" operator="notEqual">
      <formula>INDIRECT("Dummy_for_Comparison1!"&amp;ADDRESS(ROW(),COLUMN()))</formula>
    </cfRule>
  </conditionalFormatting>
  <conditionalFormatting sqref="G10">
    <cfRule type="cellIs" dxfId="27" priority="38" stopIfTrue="1" operator="notEqual">
      <formula>INDIRECT("Dummy_for_Comparison1!"&amp;ADDRESS(ROW(),COLUMN()))</formula>
    </cfRule>
  </conditionalFormatting>
  <conditionalFormatting sqref="B11">
    <cfRule type="cellIs" dxfId="26" priority="77" stopIfTrue="1" operator="notEqual">
      <formula>INDIRECT("Dummy_for_Comparison1!"&amp;ADDRESS(ROW(),COLUMN()))</formula>
    </cfRule>
  </conditionalFormatting>
  <conditionalFormatting sqref="C11">
    <cfRule type="cellIs" dxfId="25" priority="5" stopIfTrue="1" operator="notEqual">
      <formula>INDIRECT("Dummy_for_Comparison1!"&amp;ADDRESS(ROW(),COLUMN()))</formula>
    </cfRule>
  </conditionalFormatting>
  <conditionalFormatting sqref="D11">
    <cfRule type="cellIs" dxfId="24" priority="6" stopIfTrue="1" operator="notEqual">
      <formula>INDIRECT("Dummy_for_Comparison1!"&amp;ADDRESS(ROW(),COLUMN()))</formula>
    </cfRule>
  </conditionalFormatting>
  <conditionalFormatting sqref="E11">
    <cfRule type="cellIs" dxfId="23" priority="70" stopIfTrue="1" operator="notEqual">
      <formula>INDIRECT("Dummy_for_Comparison1!"&amp;ADDRESS(ROW(),COLUMN()))</formula>
    </cfRule>
  </conditionalFormatting>
  <conditionalFormatting sqref="E27:G27">
    <cfRule type="cellIs" dxfId="22" priority="35" stopIfTrue="1" operator="notEqual">
      <formula>INDIRECT("Dummy_for_Comparison1!"&amp;ADDRESS(ROW(),COLUMN()))</formula>
    </cfRule>
  </conditionalFormatting>
  <conditionalFormatting sqref="E30">
    <cfRule type="cellIs" dxfId="21" priority="68" stopIfTrue="1" operator="notEqual">
      <formula>INDIRECT("Dummy_for_Comparison1!"&amp;ADDRESS(ROW(),COLUMN()))</formula>
    </cfRule>
  </conditionalFormatting>
  <conditionalFormatting sqref="F30">
    <cfRule type="cellIs" dxfId="20" priority="69" stopIfTrue="1" operator="notEqual">
      <formula>INDIRECT("Dummy_for_Comparison1!"&amp;ADDRESS(ROW(),COLUMN()))</formula>
    </cfRule>
  </conditionalFormatting>
  <conditionalFormatting sqref="G30">
    <cfRule type="cellIs" dxfId="19" priority="67" stopIfTrue="1" operator="notEqual">
      <formula>INDIRECT("Dummy_for_Comparison1!"&amp;ADDRESS(ROW(),COLUMN()))</formula>
    </cfRule>
  </conditionalFormatting>
  <conditionalFormatting sqref="E33">
    <cfRule type="cellIs" dxfId="18" priority="47" stopIfTrue="1" operator="notEqual">
      <formula>INDIRECT("Dummy_for_Comparison1!"&amp;ADDRESS(ROW(),COLUMN()))</formula>
    </cfRule>
  </conditionalFormatting>
  <conditionalFormatting sqref="F33">
    <cfRule type="cellIs" dxfId="17" priority="48" stopIfTrue="1" operator="notEqual">
      <formula>INDIRECT("Dummy_for_Comparison1!"&amp;ADDRESS(ROW(),COLUMN()))</formula>
    </cfRule>
  </conditionalFormatting>
  <conditionalFormatting sqref="G33">
    <cfRule type="cellIs" dxfId="16" priority="46" stopIfTrue="1" operator="notEqual">
      <formula>INDIRECT("Dummy_for_Comparison1!"&amp;ADDRESS(ROW(),COLUMN()))</formula>
    </cfRule>
  </conditionalFormatting>
  <conditionalFormatting sqref="E34">
    <cfRule type="cellIs" dxfId="15" priority="53" stopIfTrue="1" operator="notEqual">
      <formula>INDIRECT("Dummy_for_Comparison1!"&amp;ADDRESS(ROW(),COLUMN()))</formula>
    </cfRule>
  </conditionalFormatting>
  <conditionalFormatting sqref="F34">
    <cfRule type="cellIs" dxfId="14" priority="54" stopIfTrue="1" operator="notEqual">
      <formula>INDIRECT("Dummy_for_Comparison1!"&amp;ADDRESS(ROW(),COLUMN()))</formula>
    </cfRule>
  </conditionalFormatting>
  <conditionalFormatting sqref="G34">
    <cfRule type="cellIs" dxfId="13" priority="52" stopIfTrue="1" operator="notEqual">
      <formula>INDIRECT("Dummy_for_Comparison1!"&amp;ADDRESS(ROW(),COLUMN()))</formula>
    </cfRule>
  </conditionalFormatting>
  <conditionalFormatting sqref="E35">
    <cfRule type="cellIs" dxfId="12" priority="50" stopIfTrue="1" operator="notEqual">
      <formula>INDIRECT("Dummy_for_Comparison1!"&amp;ADDRESS(ROW(),COLUMN()))</formula>
    </cfRule>
  </conditionalFormatting>
  <conditionalFormatting sqref="F35">
    <cfRule type="cellIs" dxfId="11" priority="51" stopIfTrue="1" operator="notEqual">
      <formula>INDIRECT("Dummy_for_Comparison1!"&amp;ADDRESS(ROW(),COLUMN()))</formula>
    </cfRule>
  </conditionalFormatting>
  <conditionalFormatting sqref="G35">
    <cfRule type="cellIs" dxfId="10" priority="49" stopIfTrue="1" operator="notEqual">
      <formula>INDIRECT("Dummy_for_Comparison1!"&amp;ADDRESS(ROW(),COLUMN()))</formula>
    </cfRule>
  </conditionalFormatting>
  <conditionalFormatting sqref="E36">
    <cfRule type="cellIs" dxfId="9" priority="59" stopIfTrue="1" operator="notEqual">
      <formula>INDIRECT("Dummy_for_Comparison1!"&amp;ADDRESS(ROW(),COLUMN()))</formula>
    </cfRule>
  </conditionalFormatting>
  <conditionalFormatting sqref="F36">
    <cfRule type="cellIs" dxfId="8" priority="60" stopIfTrue="1" operator="notEqual">
      <formula>INDIRECT("Dummy_for_Comparison1!"&amp;ADDRESS(ROW(),COLUMN()))</formula>
    </cfRule>
  </conditionalFormatting>
  <conditionalFormatting sqref="G36">
    <cfRule type="cellIs" dxfId="7" priority="58" stopIfTrue="1" operator="notEqual">
      <formula>INDIRECT("Dummy_for_Comparison1!"&amp;ADDRESS(ROW(),COLUMN()))</formula>
    </cfRule>
  </conditionalFormatting>
  <conditionalFormatting sqref="E37:G37">
    <cfRule type="cellIs" dxfId="6" priority="34" stopIfTrue="1" operator="notEqual">
      <formula>INDIRECT("Dummy_for_Comparison1!"&amp;ADDRESS(ROW(),COLUMN()))</formula>
    </cfRule>
  </conditionalFormatting>
  <conditionalFormatting sqref="E38:G38">
    <cfRule type="cellIs" dxfId="5" priority="33" stopIfTrue="1" operator="notEqual">
      <formula>INDIRECT("Dummy_for_Comparison1!"&amp;ADDRESS(ROW(),COLUMN()))</formula>
    </cfRule>
  </conditionalFormatting>
  <conditionalFormatting sqref="E31:E32">
    <cfRule type="cellIs" dxfId="4" priority="65" stopIfTrue="1" operator="notEqual">
      <formula>INDIRECT("Dummy_for_Comparison1!"&amp;ADDRESS(ROW(),COLUMN()))</formula>
    </cfRule>
  </conditionalFormatting>
  <conditionalFormatting sqref="F31:F32">
    <cfRule type="cellIs" dxfId="3" priority="66" stopIfTrue="1" operator="notEqual">
      <formula>INDIRECT("Dummy_for_Comparison1!"&amp;ADDRESS(ROW(),COLUMN()))</formula>
    </cfRule>
  </conditionalFormatting>
  <conditionalFormatting sqref="G31:G32">
    <cfRule type="cellIs" dxfId="2" priority="64" stopIfTrue="1" operator="notEqual">
      <formula>INDIRECT("Dummy_for_Comparison1!"&amp;ADDRESS(ROW(),COLUMN()))</formula>
    </cfRule>
  </conditionalFormatting>
  <conditionalFormatting sqref="F11:G26 E12:E26 E28:G29">
    <cfRule type="cellIs" dxfId="1" priority="71" stopIfTrue="1" operator="notEqual">
      <formula>INDIRECT("Dummy_for_Comparison1!"&amp;ADDRESS(ROW(),COLUMN()))</formula>
    </cfRule>
  </conditionalFormatting>
  <conditionalFormatting sqref="E39:G40">
    <cfRule type="cellIs" dxfId="0" priority="45" stopIfTrue="1" operator="notEqual">
      <formula>INDIRECT("Dummy_for_Comparison1!"&amp;ADDRESS(ROW(),COLUMN()))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2"/>
  <sheetViews>
    <sheetView showGridLines="0" topLeftCell="A16" workbookViewId="0">
      <selection activeCell="B13" sqref="B13"/>
    </sheetView>
  </sheetViews>
  <sheetFormatPr defaultColWidth="8.875" defaultRowHeight="14.25" x14ac:dyDescent="0.2"/>
  <cols>
    <col min="1" max="1" width="4.75" style="2" customWidth="1"/>
    <col min="2" max="2" width="52.125" style="2" customWidth="1"/>
    <col min="3" max="3" width="8.875" style="2" customWidth="1"/>
    <col min="4" max="9" width="8.875" style="3" customWidth="1"/>
    <col min="10" max="11" width="8.875" style="2" customWidth="1"/>
    <col min="12" max="12" width="6.625" style="2" customWidth="1"/>
    <col min="13" max="13" width="7.375" style="2" customWidth="1"/>
    <col min="14" max="14" width="7.125" style="2" customWidth="1"/>
    <col min="15" max="17" width="8.875" style="2" customWidth="1"/>
    <col min="18" max="18" width="8.125" style="2" customWidth="1"/>
    <col min="19" max="19" width="8.5" style="2" customWidth="1"/>
    <col min="20" max="20" width="8.875" style="2" customWidth="1"/>
    <col min="21" max="16384" width="8.875" style="2"/>
  </cols>
  <sheetData>
    <row r="2" spans="2:30" s="1" customFormat="1" x14ac:dyDescent="0.2">
      <c r="B2" s="1" t="s">
        <v>113</v>
      </c>
      <c r="D2" s="4"/>
      <c r="E2" s="4"/>
      <c r="F2" s="4"/>
      <c r="G2" s="4"/>
      <c r="H2" s="4"/>
      <c r="I2" s="4"/>
    </row>
    <row r="3" spans="2:30" s="1" customFormat="1" x14ac:dyDescent="0.2">
      <c r="B3" s="1" t="s">
        <v>114</v>
      </c>
      <c r="D3" s="4"/>
      <c r="E3" s="4"/>
      <c r="F3" s="4"/>
      <c r="G3" s="4"/>
      <c r="H3" s="4"/>
      <c r="I3" s="4"/>
    </row>
    <row r="4" spans="2:30" s="1" customFormat="1" x14ac:dyDescent="0.2">
      <c r="B4" s="1" t="s">
        <v>115</v>
      </c>
      <c r="E4" s="4"/>
      <c r="F4" s="4"/>
      <c r="G4" s="4"/>
      <c r="H4" s="4"/>
      <c r="I4" s="4"/>
      <c r="J4" s="4"/>
    </row>
    <row r="5" spans="2:30" x14ac:dyDescent="0.2">
      <c r="B5" s="2" t="s">
        <v>116</v>
      </c>
      <c r="D5" s="2"/>
      <c r="E5" s="3" t="s">
        <v>117</v>
      </c>
      <c r="F5" s="2" t="s">
        <v>118</v>
      </c>
      <c r="G5" s="2" t="s">
        <v>119</v>
      </c>
      <c r="H5" s="3" t="s">
        <v>120</v>
      </c>
      <c r="I5" s="3" t="s">
        <v>121</v>
      </c>
      <c r="J5" s="2" t="s">
        <v>122</v>
      </c>
      <c r="K5" s="2" t="s">
        <v>123</v>
      </c>
      <c r="L5" s="2" t="s">
        <v>124</v>
      </c>
      <c r="M5" s="2" t="s">
        <v>125</v>
      </c>
      <c r="N5" s="2" t="s">
        <v>126</v>
      </c>
      <c r="O5" s="2" t="s">
        <v>127</v>
      </c>
      <c r="P5" s="2" t="s">
        <v>128</v>
      </c>
      <c r="Q5" s="2" t="s">
        <v>129</v>
      </c>
      <c r="R5" s="2" t="s">
        <v>130</v>
      </c>
      <c r="S5" s="2" t="s">
        <v>131</v>
      </c>
      <c r="T5" s="2" t="s">
        <v>132</v>
      </c>
      <c r="U5" s="2" t="s">
        <v>133</v>
      </c>
      <c r="V5" s="2" t="s">
        <v>134</v>
      </c>
      <c r="W5" s="2" t="s">
        <v>135</v>
      </c>
      <c r="X5" s="2" t="s">
        <v>136</v>
      </c>
      <c r="Y5" s="2" t="s">
        <v>137</v>
      </c>
      <c r="Z5" s="2" t="s">
        <v>138</v>
      </c>
      <c r="AA5" s="2" t="s">
        <v>139</v>
      </c>
      <c r="AB5" s="2" t="s">
        <v>140</v>
      </c>
      <c r="AC5" s="2" t="s">
        <v>141</v>
      </c>
      <c r="AD5" s="2" t="s">
        <v>142</v>
      </c>
    </row>
    <row r="6" spans="2:30" ht="28.5" x14ac:dyDescent="0.2">
      <c r="B6" s="2" t="s">
        <v>143</v>
      </c>
      <c r="D6" s="5" t="s">
        <v>144</v>
      </c>
      <c r="E6" s="5">
        <v>0</v>
      </c>
      <c r="F6" s="5">
        <v>1</v>
      </c>
      <c r="G6" s="5">
        <v>2</v>
      </c>
      <c r="H6" s="5">
        <v>3</v>
      </c>
      <c r="I6" s="5">
        <v>4</v>
      </c>
      <c r="J6" s="5" t="s">
        <v>49</v>
      </c>
      <c r="K6" s="5" t="s">
        <v>145</v>
      </c>
      <c r="L6" s="37" t="s">
        <v>146</v>
      </c>
      <c r="M6" s="5" t="s">
        <v>147</v>
      </c>
      <c r="N6" s="5" t="s">
        <v>148</v>
      </c>
      <c r="O6" s="5" t="s">
        <v>149</v>
      </c>
      <c r="P6" s="5" t="s">
        <v>150</v>
      </c>
      <c r="Q6" s="5" t="s">
        <v>151</v>
      </c>
      <c r="R6" s="5" t="s">
        <v>152</v>
      </c>
      <c r="S6" s="5" t="s">
        <v>153</v>
      </c>
      <c r="T6" s="5" t="s">
        <v>154</v>
      </c>
      <c r="U6" s="5" t="s">
        <v>155</v>
      </c>
      <c r="V6" s="5" t="s">
        <v>156</v>
      </c>
      <c r="W6" s="5" t="s">
        <v>157</v>
      </c>
      <c r="X6" s="5" t="s">
        <v>158</v>
      </c>
      <c r="Y6" s="5" t="s">
        <v>159</v>
      </c>
      <c r="Z6" s="5" t="s">
        <v>160</v>
      </c>
      <c r="AA6" s="5" t="s">
        <v>161</v>
      </c>
      <c r="AB6" s="5" t="s">
        <v>162</v>
      </c>
      <c r="AC6" s="5" t="s">
        <v>163</v>
      </c>
      <c r="AD6" s="5" t="s">
        <v>164</v>
      </c>
    </row>
    <row r="7" spans="2:30" x14ac:dyDescent="0.2">
      <c r="C7" s="2" t="s">
        <v>117</v>
      </c>
      <c r="D7" s="5">
        <v>0</v>
      </c>
      <c r="E7" s="5"/>
      <c r="F7" s="5"/>
      <c r="G7" s="5"/>
      <c r="H7" s="5"/>
      <c r="I7" s="5"/>
      <c r="J7" s="5"/>
      <c r="K7" s="5"/>
      <c r="L7" s="37"/>
      <c r="M7" s="5"/>
      <c r="N7" s="5"/>
      <c r="O7" s="5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spans="2:30" x14ac:dyDescent="0.2">
      <c r="C8" s="2" t="s">
        <v>118</v>
      </c>
      <c r="D8" s="5" t="s">
        <v>27</v>
      </c>
      <c r="E8" s="5"/>
      <c r="F8" s="5"/>
      <c r="G8" s="5"/>
      <c r="H8" s="5"/>
      <c r="I8" s="5"/>
      <c r="J8" s="5"/>
      <c r="K8" s="5"/>
      <c r="L8" s="37"/>
      <c r="M8" s="5"/>
      <c r="N8" s="5"/>
      <c r="O8" s="5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 spans="2:30" x14ac:dyDescent="0.2">
      <c r="C9" s="2" t="s">
        <v>119</v>
      </c>
      <c r="D9" s="5" t="s">
        <v>165</v>
      </c>
      <c r="E9" s="5"/>
      <c r="F9" s="5"/>
      <c r="G9" s="5"/>
      <c r="H9" s="5"/>
      <c r="I9" s="5"/>
      <c r="J9" s="5"/>
      <c r="K9" s="5"/>
      <c r="L9" s="37"/>
      <c r="M9" s="5"/>
      <c r="N9" s="5"/>
      <c r="O9" s="5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spans="2:30" x14ac:dyDescent="0.2">
      <c r="C10" s="2" t="s">
        <v>120</v>
      </c>
      <c r="D10" s="5" t="s">
        <v>166</v>
      </c>
      <c r="E10" s="5"/>
      <c r="F10" s="5"/>
      <c r="G10" s="5"/>
      <c r="H10" s="5"/>
      <c r="I10" s="5"/>
      <c r="J10" s="5"/>
      <c r="K10" s="5" t="s">
        <v>27</v>
      </c>
      <c r="L10" s="37" t="s">
        <v>27</v>
      </c>
      <c r="M10" s="5"/>
      <c r="N10" s="5"/>
      <c r="O10" s="5" t="s">
        <v>27</v>
      </c>
      <c r="P10" s="6" t="s">
        <v>27</v>
      </c>
      <c r="Q10" s="6" t="s">
        <v>27</v>
      </c>
      <c r="R10" s="6" t="s">
        <v>27</v>
      </c>
      <c r="S10" s="6" t="s">
        <v>27</v>
      </c>
      <c r="T10" s="6" t="s">
        <v>27</v>
      </c>
      <c r="U10" s="6" t="s">
        <v>27</v>
      </c>
      <c r="V10" s="6" t="s">
        <v>27</v>
      </c>
      <c r="W10" s="6" t="s">
        <v>27</v>
      </c>
      <c r="X10" s="6" t="s">
        <v>27</v>
      </c>
      <c r="Y10" s="6" t="s">
        <v>27</v>
      </c>
      <c r="Z10" s="6" t="s">
        <v>27</v>
      </c>
      <c r="AA10" s="6" t="s">
        <v>27</v>
      </c>
      <c r="AB10" s="6" t="s">
        <v>27</v>
      </c>
      <c r="AC10" s="6" t="s">
        <v>27</v>
      </c>
      <c r="AD10" s="6" t="s">
        <v>27</v>
      </c>
    </row>
    <row r="11" spans="2:30" x14ac:dyDescent="0.2">
      <c r="C11" s="2" t="s">
        <v>121</v>
      </c>
      <c r="D11" s="5" t="s">
        <v>167</v>
      </c>
      <c r="E11" s="5"/>
      <c r="F11" s="5"/>
      <c r="G11" s="5"/>
      <c r="H11" s="5"/>
      <c r="I11" s="5"/>
      <c r="J11" s="5"/>
      <c r="K11" s="5"/>
      <c r="L11" s="37"/>
      <c r="M11" s="5"/>
      <c r="N11" s="5"/>
      <c r="O11" s="5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spans="2:30" x14ac:dyDescent="0.2">
      <c r="C12" s="2" t="s">
        <v>122</v>
      </c>
      <c r="D12" s="5" t="s">
        <v>49</v>
      </c>
      <c r="E12" s="5"/>
      <c r="F12" s="5"/>
      <c r="G12" s="5"/>
      <c r="H12" s="5"/>
      <c r="I12" s="5"/>
      <c r="J12" s="5"/>
      <c r="K12" s="5"/>
      <c r="L12" s="37"/>
      <c r="M12" s="5"/>
      <c r="N12" s="5"/>
      <c r="O12" s="5" t="s">
        <v>27</v>
      </c>
      <c r="P12" s="6" t="s">
        <v>27</v>
      </c>
      <c r="Q12" s="6" t="s">
        <v>27</v>
      </c>
      <c r="R12" s="6" t="s">
        <v>27</v>
      </c>
      <c r="S12" s="6" t="s">
        <v>27</v>
      </c>
      <c r="T12" s="6" t="s">
        <v>27</v>
      </c>
      <c r="U12" s="6" t="s">
        <v>27</v>
      </c>
      <c r="V12" s="6" t="s">
        <v>27</v>
      </c>
      <c r="W12" s="6" t="s">
        <v>27</v>
      </c>
      <c r="X12" s="6" t="s">
        <v>27</v>
      </c>
      <c r="Y12" s="6" t="s">
        <v>27</v>
      </c>
      <c r="Z12" s="6" t="s">
        <v>27</v>
      </c>
      <c r="AA12" s="6" t="s">
        <v>27</v>
      </c>
      <c r="AB12" s="6" t="s">
        <v>27</v>
      </c>
      <c r="AC12" s="6" t="s">
        <v>27</v>
      </c>
      <c r="AD12" s="6" t="s">
        <v>27</v>
      </c>
    </row>
    <row r="13" spans="2:30" x14ac:dyDescent="0.2">
      <c r="C13" s="2" t="s">
        <v>123</v>
      </c>
      <c r="D13" s="5" t="s">
        <v>145</v>
      </c>
      <c r="E13" s="5"/>
      <c r="F13" s="5"/>
      <c r="G13" s="5"/>
      <c r="H13" s="5" t="s">
        <v>27</v>
      </c>
      <c r="I13" s="5"/>
      <c r="J13" s="5"/>
      <c r="K13" s="5"/>
      <c r="L13" s="37" t="s">
        <v>27</v>
      </c>
      <c r="M13" s="5"/>
      <c r="N13" s="5"/>
      <c r="O13" s="5" t="s">
        <v>27</v>
      </c>
      <c r="P13" s="6" t="s">
        <v>27</v>
      </c>
      <c r="Q13" s="6" t="s">
        <v>27</v>
      </c>
      <c r="R13" s="6" t="s">
        <v>27</v>
      </c>
      <c r="S13" s="6" t="s">
        <v>27</v>
      </c>
      <c r="T13" s="6" t="s">
        <v>27</v>
      </c>
      <c r="U13" s="6" t="s">
        <v>27</v>
      </c>
      <c r="V13" s="6" t="s">
        <v>27</v>
      </c>
      <c r="W13" s="6" t="s">
        <v>27</v>
      </c>
      <c r="X13" s="6" t="s">
        <v>27</v>
      </c>
      <c r="Y13" s="6" t="s">
        <v>27</v>
      </c>
      <c r="Z13" s="6" t="s">
        <v>27</v>
      </c>
      <c r="AA13" s="6" t="s">
        <v>27</v>
      </c>
      <c r="AB13" s="6" t="s">
        <v>27</v>
      </c>
      <c r="AC13" s="6" t="s">
        <v>27</v>
      </c>
      <c r="AD13" s="6" t="s">
        <v>27</v>
      </c>
    </row>
    <row r="14" spans="2:30" x14ac:dyDescent="0.2">
      <c r="C14" s="2" t="s">
        <v>124</v>
      </c>
      <c r="D14" s="37" t="s">
        <v>146</v>
      </c>
      <c r="E14" s="37"/>
      <c r="F14" s="37"/>
      <c r="G14" s="37"/>
      <c r="H14" s="37" t="s">
        <v>27</v>
      </c>
      <c r="I14" s="37"/>
      <c r="J14" s="37"/>
      <c r="K14" s="37" t="s">
        <v>27</v>
      </c>
      <c r="L14" s="37" t="s">
        <v>27</v>
      </c>
      <c r="M14" s="37"/>
      <c r="N14" s="37"/>
      <c r="O14" s="37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spans="2:30" x14ac:dyDescent="0.2">
      <c r="C15" s="2" t="s">
        <v>125</v>
      </c>
      <c r="D15" s="5" t="s">
        <v>147</v>
      </c>
      <c r="E15" s="5"/>
      <c r="F15" s="5"/>
      <c r="G15" s="5"/>
      <c r="H15" s="5"/>
      <c r="I15" s="5"/>
      <c r="J15" s="5"/>
      <c r="K15" s="5"/>
      <c r="L15" s="37"/>
      <c r="M15" s="5"/>
      <c r="N15" s="5"/>
      <c r="O15" s="5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spans="2:30" x14ac:dyDescent="0.2">
      <c r="C16" s="2" t="s">
        <v>126</v>
      </c>
      <c r="D16" s="5" t="s">
        <v>148</v>
      </c>
      <c r="E16" s="5"/>
      <c r="F16" s="5"/>
      <c r="G16" s="5"/>
      <c r="H16" s="5"/>
      <c r="I16" s="5"/>
      <c r="J16" s="5"/>
      <c r="K16" s="5"/>
      <c r="L16" s="37"/>
      <c r="M16" s="5"/>
      <c r="N16" s="5"/>
      <c r="O16" s="5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 spans="3:30" x14ac:dyDescent="0.2">
      <c r="C17" s="2" t="s">
        <v>127</v>
      </c>
      <c r="D17" s="5" t="s">
        <v>149</v>
      </c>
      <c r="E17" s="5"/>
      <c r="F17" s="5"/>
      <c r="G17" s="5"/>
      <c r="H17" s="5" t="s">
        <v>27</v>
      </c>
      <c r="I17" s="5"/>
      <c r="J17" s="5" t="s">
        <v>27</v>
      </c>
      <c r="K17" s="5" t="s">
        <v>27</v>
      </c>
      <c r="L17" s="37" t="s">
        <v>27</v>
      </c>
      <c r="M17" s="5"/>
      <c r="N17" s="5"/>
      <c r="O17" s="5"/>
      <c r="P17" s="6" t="s">
        <v>27</v>
      </c>
      <c r="Q17" s="6" t="s">
        <v>27</v>
      </c>
      <c r="R17" s="6" t="s">
        <v>27</v>
      </c>
      <c r="S17" s="6" t="s">
        <v>27</v>
      </c>
      <c r="T17" s="6" t="s">
        <v>27</v>
      </c>
      <c r="U17" s="6" t="s">
        <v>27</v>
      </c>
      <c r="V17" s="6" t="s">
        <v>27</v>
      </c>
      <c r="W17" s="6" t="s">
        <v>27</v>
      </c>
      <c r="X17" s="6" t="s">
        <v>27</v>
      </c>
      <c r="Y17" s="6" t="s">
        <v>27</v>
      </c>
      <c r="Z17" s="6" t="s">
        <v>27</v>
      </c>
      <c r="AA17" s="6" t="s">
        <v>27</v>
      </c>
      <c r="AB17" s="6" t="s">
        <v>27</v>
      </c>
      <c r="AC17" s="6" t="s">
        <v>27</v>
      </c>
      <c r="AD17" s="6" t="s">
        <v>27</v>
      </c>
    </row>
    <row r="18" spans="3:30" x14ac:dyDescent="0.2">
      <c r="C18" s="2" t="s">
        <v>128</v>
      </c>
      <c r="D18" s="5" t="s">
        <v>150</v>
      </c>
      <c r="E18" s="6"/>
      <c r="F18" s="6"/>
      <c r="G18" s="6"/>
      <c r="H18" s="6" t="s">
        <v>27</v>
      </c>
      <c r="I18" s="6"/>
      <c r="J18" s="6" t="s">
        <v>27</v>
      </c>
      <c r="K18" s="6" t="s">
        <v>27</v>
      </c>
      <c r="L18" s="6" t="s">
        <v>27</v>
      </c>
      <c r="M18" s="6"/>
      <c r="N18" s="6"/>
      <c r="O18" s="6" t="s">
        <v>27</v>
      </c>
      <c r="P18" s="6"/>
      <c r="Q18" s="6" t="s">
        <v>27</v>
      </c>
      <c r="R18" s="6" t="s">
        <v>27</v>
      </c>
      <c r="S18" s="6" t="s">
        <v>27</v>
      </c>
      <c r="T18" s="6" t="s">
        <v>27</v>
      </c>
      <c r="U18" s="6" t="s">
        <v>27</v>
      </c>
      <c r="V18" s="6" t="s">
        <v>27</v>
      </c>
      <c r="W18" s="6" t="s">
        <v>27</v>
      </c>
      <c r="X18" s="6" t="s">
        <v>27</v>
      </c>
      <c r="Y18" s="6" t="s">
        <v>27</v>
      </c>
      <c r="Z18" s="6" t="s">
        <v>27</v>
      </c>
      <c r="AA18" s="6" t="s">
        <v>27</v>
      </c>
      <c r="AB18" s="6" t="s">
        <v>27</v>
      </c>
      <c r="AC18" s="6" t="s">
        <v>27</v>
      </c>
      <c r="AD18" s="6" t="s">
        <v>27</v>
      </c>
    </row>
    <row r="19" spans="3:30" x14ac:dyDescent="0.2">
      <c r="C19" s="2" t="s">
        <v>129</v>
      </c>
      <c r="D19" s="5" t="s">
        <v>151</v>
      </c>
      <c r="E19" s="6"/>
      <c r="F19" s="6"/>
      <c r="G19" s="6"/>
      <c r="H19" s="6" t="s">
        <v>27</v>
      </c>
      <c r="I19" s="6"/>
      <c r="J19" s="6" t="s">
        <v>27</v>
      </c>
      <c r="K19" s="6" t="s">
        <v>27</v>
      </c>
      <c r="L19" s="6" t="s">
        <v>27</v>
      </c>
      <c r="M19" s="6"/>
      <c r="N19" s="6"/>
      <c r="O19" s="6" t="s">
        <v>27</v>
      </c>
      <c r="P19" s="6" t="s">
        <v>27</v>
      </c>
      <c r="Q19" s="6"/>
      <c r="R19" s="6" t="s">
        <v>27</v>
      </c>
      <c r="S19" s="6" t="s">
        <v>27</v>
      </c>
      <c r="T19" s="6" t="s">
        <v>27</v>
      </c>
      <c r="U19" s="6" t="s">
        <v>27</v>
      </c>
      <c r="V19" s="6" t="s">
        <v>27</v>
      </c>
      <c r="W19" s="6" t="s">
        <v>27</v>
      </c>
      <c r="X19" s="6" t="s">
        <v>27</v>
      </c>
      <c r="Y19" s="6" t="s">
        <v>27</v>
      </c>
      <c r="Z19" s="6" t="s">
        <v>27</v>
      </c>
      <c r="AA19" s="6" t="s">
        <v>27</v>
      </c>
      <c r="AB19" s="6" t="s">
        <v>27</v>
      </c>
      <c r="AC19" s="6" t="s">
        <v>27</v>
      </c>
      <c r="AD19" s="6" t="s">
        <v>27</v>
      </c>
    </row>
    <row r="20" spans="3:30" x14ac:dyDescent="0.2">
      <c r="C20" s="2" t="s">
        <v>130</v>
      </c>
      <c r="D20" s="5" t="s">
        <v>152</v>
      </c>
      <c r="E20" s="6"/>
      <c r="F20" s="6"/>
      <c r="G20" s="6"/>
      <c r="H20" s="6" t="s">
        <v>27</v>
      </c>
      <c r="I20" s="6"/>
      <c r="J20" s="6" t="s">
        <v>27</v>
      </c>
      <c r="K20" s="6" t="s">
        <v>27</v>
      </c>
      <c r="L20" s="6" t="s">
        <v>27</v>
      </c>
      <c r="M20" s="6"/>
      <c r="N20" s="6"/>
      <c r="O20" s="6" t="s">
        <v>27</v>
      </c>
      <c r="P20" s="6" t="s">
        <v>27</v>
      </c>
      <c r="Q20" s="6" t="s">
        <v>27</v>
      </c>
      <c r="R20" s="6"/>
      <c r="S20" s="6" t="s">
        <v>27</v>
      </c>
      <c r="T20" s="6" t="s">
        <v>27</v>
      </c>
      <c r="U20" s="6" t="s">
        <v>27</v>
      </c>
      <c r="V20" s="6" t="s">
        <v>27</v>
      </c>
      <c r="W20" s="6" t="s">
        <v>27</v>
      </c>
      <c r="X20" s="6" t="s">
        <v>27</v>
      </c>
      <c r="Y20" s="6" t="s">
        <v>27</v>
      </c>
      <c r="Z20" s="6" t="s">
        <v>27</v>
      </c>
      <c r="AA20" s="6" t="s">
        <v>27</v>
      </c>
      <c r="AB20" s="6" t="s">
        <v>27</v>
      </c>
      <c r="AC20" s="6" t="s">
        <v>27</v>
      </c>
      <c r="AD20" s="6" t="s">
        <v>27</v>
      </c>
    </row>
    <row r="21" spans="3:30" x14ac:dyDescent="0.2">
      <c r="C21" s="2" t="s">
        <v>131</v>
      </c>
      <c r="D21" s="5" t="s">
        <v>153</v>
      </c>
      <c r="E21" s="6"/>
      <c r="F21" s="6"/>
      <c r="G21" s="6"/>
      <c r="H21" s="6" t="s">
        <v>27</v>
      </c>
      <c r="I21" s="6"/>
      <c r="J21" s="6" t="s">
        <v>27</v>
      </c>
      <c r="K21" s="6" t="s">
        <v>27</v>
      </c>
      <c r="L21" s="6" t="s">
        <v>27</v>
      </c>
      <c r="M21" s="6"/>
      <c r="N21" s="6"/>
      <c r="O21" s="6" t="s">
        <v>27</v>
      </c>
      <c r="P21" s="6" t="s">
        <v>27</v>
      </c>
      <c r="Q21" s="6" t="s">
        <v>27</v>
      </c>
      <c r="R21" s="6" t="s">
        <v>27</v>
      </c>
      <c r="S21" s="6"/>
      <c r="T21" s="6" t="s">
        <v>27</v>
      </c>
      <c r="U21" s="6" t="s">
        <v>27</v>
      </c>
      <c r="V21" s="6" t="s">
        <v>27</v>
      </c>
      <c r="W21" s="6" t="s">
        <v>27</v>
      </c>
      <c r="X21" s="6" t="s">
        <v>27</v>
      </c>
      <c r="Y21" s="6" t="s">
        <v>27</v>
      </c>
      <c r="Z21" s="6" t="s">
        <v>27</v>
      </c>
      <c r="AA21" s="6" t="s">
        <v>27</v>
      </c>
      <c r="AB21" s="6" t="s">
        <v>27</v>
      </c>
      <c r="AC21" s="6" t="s">
        <v>27</v>
      </c>
      <c r="AD21" s="6" t="s">
        <v>27</v>
      </c>
    </row>
    <row r="22" spans="3:30" x14ac:dyDescent="0.2">
      <c r="C22" s="2" t="s">
        <v>132</v>
      </c>
      <c r="D22" s="5" t="s">
        <v>154</v>
      </c>
      <c r="E22" s="6"/>
      <c r="F22" s="6"/>
      <c r="G22" s="6"/>
      <c r="H22" s="6" t="s">
        <v>27</v>
      </c>
      <c r="I22" s="6"/>
      <c r="J22" s="6" t="s">
        <v>27</v>
      </c>
      <c r="K22" s="6" t="s">
        <v>27</v>
      </c>
      <c r="L22" s="6" t="s">
        <v>27</v>
      </c>
      <c r="M22" s="6"/>
      <c r="N22" s="6"/>
      <c r="O22" s="6" t="s">
        <v>27</v>
      </c>
      <c r="P22" s="6" t="s">
        <v>27</v>
      </c>
      <c r="Q22" s="6" t="s">
        <v>27</v>
      </c>
      <c r="R22" s="6" t="s">
        <v>27</v>
      </c>
      <c r="S22" s="6" t="s">
        <v>27</v>
      </c>
      <c r="T22" s="6"/>
      <c r="U22" s="6" t="s">
        <v>27</v>
      </c>
      <c r="V22" s="6" t="s">
        <v>27</v>
      </c>
      <c r="W22" s="6" t="s">
        <v>27</v>
      </c>
      <c r="X22" s="6" t="s">
        <v>27</v>
      </c>
      <c r="Y22" s="6" t="s">
        <v>27</v>
      </c>
      <c r="Z22" s="6" t="s">
        <v>27</v>
      </c>
      <c r="AA22" s="6" t="s">
        <v>27</v>
      </c>
      <c r="AB22" s="6" t="s">
        <v>27</v>
      </c>
      <c r="AC22" s="6" t="s">
        <v>27</v>
      </c>
      <c r="AD22" s="6" t="s">
        <v>27</v>
      </c>
    </row>
    <row r="23" spans="3:30" x14ac:dyDescent="0.2">
      <c r="C23" s="2" t="s">
        <v>133</v>
      </c>
      <c r="D23" s="5" t="s">
        <v>155</v>
      </c>
      <c r="E23" s="6"/>
      <c r="F23" s="6"/>
      <c r="G23" s="6"/>
      <c r="H23" s="6" t="s">
        <v>27</v>
      </c>
      <c r="I23" s="6"/>
      <c r="J23" s="6" t="s">
        <v>27</v>
      </c>
      <c r="K23" s="6" t="s">
        <v>27</v>
      </c>
      <c r="L23" s="6" t="s">
        <v>27</v>
      </c>
      <c r="M23" s="6"/>
      <c r="N23" s="6"/>
      <c r="O23" s="6" t="s">
        <v>27</v>
      </c>
      <c r="P23" s="6" t="s">
        <v>27</v>
      </c>
      <c r="Q23" s="6" t="s">
        <v>27</v>
      </c>
      <c r="R23" s="6" t="s">
        <v>27</v>
      </c>
      <c r="S23" s="6" t="s">
        <v>27</v>
      </c>
      <c r="T23" s="6" t="s">
        <v>27</v>
      </c>
      <c r="U23" s="6"/>
      <c r="V23" s="6" t="s">
        <v>27</v>
      </c>
      <c r="W23" s="6" t="s">
        <v>27</v>
      </c>
      <c r="X23" s="6" t="s">
        <v>27</v>
      </c>
      <c r="Y23" s="6" t="s">
        <v>27</v>
      </c>
      <c r="Z23" s="6" t="s">
        <v>27</v>
      </c>
      <c r="AA23" s="6" t="s">
        <v>27</v>
      </c>
      <c r="AB23" s="6" t="s">
        <v>27</v>
      </c>
      <c r="AC23" s="6" t="s">
        <v>27</v>
      </c>
      <c r="AD23" s="6" t="s">
        <v>27</v>
      </c>
    </row>
    <row r="24" spans="3:30" x14ac:dyDescent="0.2">
      <c r="C24" s="2" t="s">
        <v>134</v>
      </c>
      <c r="D24" s="5" t="s">
        <v>156</v>
      </c>
      <c r="E24" s="6"/>
      <c r="F24" s="6"/>
      <c r="G24" s="6"/>
      <c r="H24" s="6" t="s">
        <v>27</v>
      </c>
      <c r="I24" s="6"/>
      <c r="J24" s="6" t="s">
        <v>27</v>
      </c>
      <c r="K24" s="6" t="s">
        <v>27</v>
      </c>
      <c r="L24" s="6" t="s">
        <v>27</v>
      </c>
      <c r="M24" s="6"/>
      <c r="N24" s="6"/>
      <c r="O24" s="6" t="s">
        <v>27</v>
      </c>
      <c r="P24" s="6" t="s">
        <v>27</v>
      </c>
      <c r="Q24" s="6" t="s">
        <v>27</v>
      </c>
      <c r="R24" s="6" t="s">
        <v>27</v>
      </c>
      <c r="S24" s="6" t="s">
        <v>27</v>
      </c>
      <c r="T24" s="6" t="s">
        <v>27</v>
      </c>
      <c r="U24" s="6" t="s">
        <v>27</v>
      </c>
      <c r="V24" s="6"/>
      <c r="W24" s="6" t="s">
        <v>27</v>
      </c>
      <c r="X24" s="6" t="s">
        <v>27</v>
      </c>
      <c r="Y24" s="6" t="s">
        <v>27</v>
      </c>
      <c r="Z24" s="6" t="s">
        <v>27</v>
      </c>
      <c r="AA24" s="6" t="s">
        <v>27</v>
      </c>
      <c r="AB24" s="6" t="s">
        <v>27</v>
      </c>
      <c r="AC24" s="6" t="s">
        <v>27</v>
      </c>
      <c r="AD24" s="6" t="s">
        <v>27</v>
      </c>
    </row>
    <row r="25" spans="3:30" x14ac:dyDescent="0.2">
      <c r="C25" s="2" t="s">
        <v>135</v>
      </c>
      <c r="D25" s="5" t="s">
        <v>157</v>
      </c>
      <c r="E25" s="6"/>
      <c r="F25" s="6"/>
      <c r="G25" s="6"/>
      <c r="H25" s="6" t="s">
        <v>27</v>
      </c>
      <c r="I25" s="6"/>
      <c r="J25" s="6" t="s">
        <v>27</v>
      </c>
      <c r="K25" s="6" t="s">
        <v>27</v>
      </c>
      <c r="L25" s="6" t="s">
        <v>27</v>
      </c>
      <c r="M25" s="6"/>
      <c r="N25" s="6"/>
      <c r="O25" s="6" t="s">
        <v>27</v>
      </c>
      <c r="P25" s="6" t="s">
        <v>27</v>
      </c>
      <c r="Q25" s="6" t="s">
        <v>27</v>
      </c>
      <c r="R25" s="6" t="s">
        <v>27</v>
      </c>
      <c r="S25" s="6" t="s">
        <v>27</v>
      </c>
      <c r="T25" s="6" t="s">
        <v>27</v>
      </c>
      <c r="U25" s="6" t="s">
        <v>27</v>
      </c>
      <c r="V25" s="6" t="s">
        <v>27</v>
      </c>
      <c r="W25" s="6"/>
      <c r="X25" s="6" t="s">
        <v>27</v>
      </c>
      <c r="Y25" s="6" t="s">
        <v>27</v>
      </c>
      <c r="Z25" s="6" t="s">
        <v>27</v>
      </c>
      <c r="AA25" s="6" t="s">
        <v>27</v>
      </c>
      <c r="AB25" s="6" t="s">
        <v>27</v>
      </c>
      <c r="AC25" s="6" t="s">
        <v>27</v>
      </c>
      <c r="AD25" s="6" t="s">
        <v>27</v>
      </c>
    </row>
    <row r="26" spans="3:30" x14ac:dyDescent="0.2">
      <c r="C26" s="2" t="s">
        <v>136</v>
      </c>
      <c r="D26" s="5" t="s">
        <v>158</v>
      </c>
      <c r="E26" s="6"/>
      <c r="F26" s="6"/>
      <c r="G26" s="6"/>
      <c r="H26" s="6" t="s">
        <v>27</v>
      </c>
      <c r="I26" s="6"/>
      <c r="J26" s="6" t="s">
        <v>27</v>
      </c>
      <c r="K26" s="6" t="s">
        <v>27</v>
      </c>
      <c r="L26" s="6" t="s">
        <v>27</v>
      </c>
      <c r="M26" s="6"/>
      <c r="N26" s="6"/>
      <c r="O26" s="6" t="s">
        <v>27</v>
      </c>
      <c r="P26" s="6" t="s">
        <v>27</v>
      </c>
      <c r="Q26" s="6" t="s">
        <v>27</v>
      </c>
      <c r="R26" s="6" t="s">
        <v>27</v>
      </c>
      <c r="S26" s="6" t="s">
        <v>27</v>
      </c>
      <c r="T26" s="6" t="s">
        <v>27</v>
      </c>
      <c r="U26" s="6" t="s">
        <v>27</v>
      </c>
      <c r="V26" s="6" t="s">
        <v>27</v>
      </c>
      <c r="W26" s="6" t="s">
        <v>27</v>
      </c>
      <c r="X26" s="6"/>
      <c r="Y26" s="6" t="s">
        <v>27</v>
      </c>
      <c r="Z26" s="6" t="s">
        <v>27</v>
      </c>
      <c r="AA26" s="6" t="s">
        <v>27</v>
      </c>
      <c r="AB26" s="6" t="s">
        <v>27</v>
      </c>
      <c r="AC26" s="6" t="s">
        <v>27</v>
      </c>
      <c r="AD26" s="6" t="s">
        <v>27</v>
      </c>
    </row>
    <row r="27" spans="3:30" x14ac:dyDescent="0.2">
      <c r="C27" s="2" t="s">
        <v>137</v>
      </c>
      <c r="D27" s="5" t="s">
        <v>159</v>
      </c>
      <c r="E27" s="6"/>
      <c r="F27" s="6"/>
      <c r="G27" s="6"/>
      <c r="H27" s="6" t="s">
        <v>27</v>
      </c>
      <c r="I27" s="6"/>
      <c r="J27" s="6" t="s">
        <v>27</v>
      </c>
      <c r="K27" s="6" t="s">
        <v>27</v>
      </c>
      <c r="L27" s="6" t="s">
        <v>27</v>
      </c>
      <c r="M27" s="6"/>
      <c r="N27" s="6"/>
      <c r="O27" s="6" t="s">
        <v>27</v>
      </c>
      <c r="P27" s="6" t="s">
        <v>27</v>
      </c>
      <c r="Q27" s="6" t="s">
        <v>27</v>
      </c>
      <c r="R27" s="6" t="s">
        <v>27</v>
      </c>
      <c r="S27" s="6" t="s">
        <v>27</v>
      </c>
      <c r="T27" s="6" t="s">
        <v>27</v>
      </c>
      <c r="U27" s="6" t="s">
        <v>27</v>
      </c>
      <c r="V27" s="6" t="s">
        <v>27</v>
      </c>
      <c r="W27" s="6" t="s">
        <v>27</v>
      </c>
      <c r="X27" s="6" t="s">
        <v>27</v>
      </c>
      <c r="Y27" s="6"/>
      <c r="Z27" s="6" t="s">
        <v>27</v>
      </c>
      <c r="AA27" s="6" t="s">
        <v>27</v>
      </c>
      <c r="AB27" s="6" t="s">
        <v>27</v>
      </c>
      <c r="AC27" s="6" t="s">
        <v>27</v>
      </c>
      <c r="AD27" s="6" t="s">
        <v>27</v>
      </c>
    </row>
    <row r="28" spans="3:30" x14ac:dyDescent="0.2">
      <c r="C28" s="2" t="s">
        <v>138</v>
      </c>
      <c r="D28" s="5" t="s">
        <v>160</v>
      </c>
      <c r="E28" s="6"/>
      <c r="F28" s="6"/>
      <c r="G28" s="6"/>
      <c r="H28" s="6" t="s">
        <v>27</v>
      </c>
      <c r="I28" s="6"/>
      <c r="J28" s="6" t="s">
        <v>27</v>
      </c>
      <c r="K28" s="6" t="s">
        <v>27</v>
      </c>
      <c r="L28" s="6" t="s">
        <v>27</v>
      </c>
      <c r="M28" s="6"/>
      <c r="N28" s="6"/>
      <c r="O28" s="6" t="s">
        <v>27</v>
      </c>
      <c r="P28" s="6" t="s">
        <v>27</v>
      </c>
      <c r="Q28" s="6" t="s">
        <v>27</v>
      </c>
      <c r="R28" s="6" t="s">
        <v>27</v>
      </c>
      <c r="S28" s="6" t="s">
        <v>27</v>
      </c>
      <c r="T28" s="6" t="s">
        <v>27</v>
      </c>
      <c r="U28" s="6" t="s">
        <v>27</v>
      </c>
      <c r="V28" s="6" t="s">
        <v>27</v>
      </c>
      <c r="W28" s="6" t="s">
        <v>27</v>
      </c>
      <c r="X28" s="6" t="s">
        <v>27</v>
      </c>
      <c r="Y28" s="6" t="s">
        <v>27</v>
      </c>
      <c r="Z28" s="6"/>
      <c r="AA28" s="6" t="s">
        <v>27</v>
      </c>
      <c r="AB28" s="6" t="s">
        <v>27</v>
      </c>
      <c r="AC28" s="6" t="s">
        <v>27</v>
      </c>
      <c r="AD28" s="6" t="s">
        <v>27</v>
      </c>
    </row>
    <row r="29" spans="3:30" x14ac:dyDescent="0.2">
      <c r="C29" s="2" t="s">
        <v>139</v>
      </c>
      <c r="D29" s="5" t="s">
        <v>161</v>
      </c>
      <c r="E29" s="6"/>
      <c r="F29" s="6"/>
      <c r="G29" s="6"/>
      <c r="H29" s="6" t="s">
        <v>27</v>
      </c>
      <c r="I29" s="6"/>
      <c r="J29" s="6" t="s">
        <v>27</v>
      </c>
      <c r="K29" s="6" t="s">
        <v>27</v>
      </c>
      <c r="L29" s="6" t="s">
        <v>27</v>
      </c>
      <c r="M29" s="6"/>
      <c r="N29" s="6"/>
      <c r="O29" s="6" t="s">
        <v>27</v>
      </c>
      <c r="P29" s="6" t="s">
        <v>27</v>
      </c>
      <c r="Q29" s="6" t="s">
        <v>27</v>
      </c>
      <c r="R29" s="6" t="s">
        <v>27</v>
      </c>
      <c r="S29" s="6" t="s">
        <v>27</v>
      </c>
      <c r="T29" s="6" t="s">
        <v>27</v>
      </c>
      <c r="U29" s="6" t="s">
        <v>27</v>
      </c>
      <c r="V29" s="6" t="s">
        <v>27</v>
      </c>
      <c r="W29" s="6" t="s">
        <v>27</v>
      </c>
      <c r="X29" s="6" t="s">
        <v>27</v>
      </c>
      <c r="Y29" s="6" t="s">
        <v>27</v>
      </c>
      <c r="Z29" s="6" t="s">
        <v>27</v>
      </c>
      <c r="AA29" s="6"/>
      <c r="AB29" s="6" t="s">
        <v>27</v>
      </c>
      <c r="AC29" s="6" t="s">
        <v>27</v>
      </c>
      <c r="AD29" s="6" t="s">
        <v>27</v>
      </c>
    </row>
    <row r="30" spans="3:30" x14ac:dyDescent="0.2">
      <c r="C30" s="2" t="s">
        <v>140</v>
      </c>
      <c r="D30" s="5" t="s">
        <v>162</v>
      </c>
      <c r="E30" s="6"/>
      <c r="F30" s="6"/>
      <c r="G30" s="6"/>
      <c r="H30" s="6" t="s">
        <v>27</v>
      </c>
      <c r="I30" s="6"/>
      <c r="J30" s="6" t="s">
        <v>27</v>
      </c>
      <c r="K30" s="6" t="s">
        <v>27</v>
      </c>
      <c r="L30" s="6" t="s">
        <v>27</v>
      </c>
      <c r="M30" s="6"/>
      <c r="N30" s="6"/>
      <c r="O30" s="6" t="s">
        <v>27</v>
      </c>
      <c r="P30" s="6" t="s">
        <v>27</v>
      </c>
      <c r="Q30" s="6" t="s">
        <v>27</v>
      </c>
      <c r="R30" s="6" t="s">
        <v>27</v>
      </c>
      <c r="S30" s="6" t="s">
        <v>27</v>
      </c>
      <c r="T30" s="6" t="s">
        <v>27</v>
      </c>
      <c r="U30" s="6" t="s">
        <v>27</v>
      </c>
      <c r="V30" s="6" t="s">
        <v>27</v>
      </c>
      <c r="W30" s="6" t="s">
        <v>27</v>
      </c>
      <c r="X30" s="6" t="s">
        <v>27</v>
      </c>
      <c r="Y30" s="6" t="s">
        <v>27</v>
      </c>
      <c r="Z30" s="6" t="s">
        <v>27</v>
      </c>
      <c r="AA30" s="6" t="s">
        <v>27</v>
      </c>
      <c r="AB30" s="6"/>
      <c r="AC30" s="6" t="s">
        <v>27</v>
      </c>
      <c r="AD30" s="6" t="s">
        <v>27</v>
      </c>
    </row>
    <row r="31" spans="3:30" x14ac:dyDescent="0.2">
      <c r="C31" s="2" t="s">
        <v>141</v>
      </c>
      <c r="D31" s="5" t="s">
        <v>163</v>
      </c>
      <c r="E31" s="6"/>
      <c r="F31" s="6"/>
      <c r="G31" s="6"/>
      <c r="H31" s="6" t="s">
        <v>27</v>
      </c>
      <c r="I31" s="6"/>
      <c r="J31" s="6" t="s">
        <v>27</v>
      </c>
      <c r="K31" s="6" t="s">
        <v>27</v>
      </c>
      <c r="L31" s="6" t="s">
        <v>27</v>
      </c>
      <c r="M31" s="6"/>
      <c r="N31" s="6"/>
      <c r="O31" s="6" t="s">
        <v>27</v>
      </c>
      <c r="P31" s="6" t="s">
        <v>27</v>
      </c>
      <c r="Q31" s="6" t="s">
        <v>27</v>
      </c>
      <c r="R31" s="6" t="s">
        <v>27</v>
      </c>
      <c r="S31" s="6" t="s">
        <v>27</v>
      </c>
      <c r="T31" s="6" t="s">
        <v>27</v>
      </c>
      <c r="U31" s="6" t="s">
        <v>27</v>
      </c>
      <c r="V31" s="6" t="s">
        <v>27</v>
      </c>
      <c r="W31" s="6" t="s">
        <v>27</v>
      </c>
      <c r="X31" s="6" t="s">
        <v>27</v>
      </c>
      <c r="Y31" s="6" t="s">
        <v>27</v>
      </c>
      <c r="Z31" s="6" t="s">
        <v>27</v>
      </c>
      <c r="AA31" s="6" t="s">
        <v>27</v>
      </c>
      <c r="AB31" s="6" t="s">
        <v>27</v>
      </c>
      <c r="AC31" s="6"/>
      <c r="AD31" s="6" t="s">
        <v>27</v>
      </c>
    </row>
    <row r="32" spans="3:30" x14ac:dyDescent="0.2">
      <c r="C32" s="2" t="s">
        <v>142</v>
      </c>
      <c r="D32" s="5" t="s">
        <v>164</v>
      </c>
      <c r="E32" s="6"/>
      <c r="F32" s="6"/>
      <c r="G32" s="6"/>
      <c r="H32" s="6" t="s">
        <v>27</v>
      </c>
      <c r="I32" s="6"/>
      <c r="J32" s="6" t="s">
        <v>27</v>
      </c>
      <c r="K32" s="6" t="s">
        <v>27</v>
      </c>
      <c r="L32" s="6" t="s">
        <v>27</v>
      </c>
      <c r="M32" s="6"/>
      <c r="N32" s="6"/>
      <c r="O32" s="6" t="s">
        <v>27</v>
      </c>
      <c r="P32" s="6" t="s">
        <v>27</v>
      </c>
      <c r="Q32" s="6" t="s">
        <v>27</v>
      </c>
      <c r="R32" s="6" t="s">
        <v>27</v>
      </c>
      <c r="S32" s="6" t="s">
        <v>27</v>
      </c>
      <c r="T32" s="6" t="s">
        <v>27</v>
      </c>
      <c r="U32" s="6" t="s">
        <v>27</v>
      </c>
      <c r="V32" s="6" t="s">
        <v>27</v>
      </c>
      <c r="W32" s="6" t="s">
        <v>27</v>
      </c>
      <c r="X32" s="6" t="s">
        <v>27</v>
      </c>
      <c r="Y32" s="6" t="s">
        <v>27</v>
      </c>
      <c r="Z32" s="6" t="s">
        <v>27</v>
      </c>
      <c r="AA32" s="6" t="s">
        <v>27</v>
      </c>
      <c r="AB32" s="6" t="s">
        <v>27</v>
      </c>
      <c r="AC32" s="6" t="s">
        <v>27</v>
      </c>
      <c r="AD32" s="6"/>
    </row>
  </sheetData>
  <phoneticPr fontId="0" type="noConversion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角色表</vt:lpstr>
      <vt:lpstr>PVP角色属性表</vt:lpstr>
      <vt:lpstr>阵营关系对照表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</cp:lastModifiedBy>
  <dcterms:created xsi:type="dcterms:W3CDTF">2015-06-05T18:19:00Z</dcterms:created>
  <dcterms:modified xsi:type="dcterms:W3CDTF">2024-02-18T02:16:30Z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7A0473E6BF6E4C419465A259D310B75C</vt:lpwstr>
  </property>
  <property fmtid="{D5CDD505-2E9C-101B-9397-08002B2CF9AE}" pid="3" name="KSOProductBuildVer">
    <vt:lpwstr>2052-12.1.0.16120</vt:lpwstr>
  </property>
</Properties>
</file>