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E:\c1\Doc\ExcelDataTable\combat\"/>
    </mc:Choice>
  </mc:AlternateContent>
  <xr:revisionPtr revIDLastSave="0" documentId="13_ncr:1_{F88BDCA8-8421-4D63-A6B7-7FD815E520D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技能" sheetId="1" r:id="rId1"/>
    <sheet name="生活技能效果事件" sheetId="4" r:id="rId2"/>
    <sheet name="生活技能" sheetId="2" r:id="rId3"/>
    <sheet name="生活技能效果事件等级参数" sheetId="5" r:id="rId4"/>
  </sheets>
  <definedNames>
    <definedName name="_xlnm._FilterDatabase" localSheetId="0" hidden="1">技能!$AT$1:$AT$479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1" i="1" l="1"/>
  <c r="X170" i="1"/>
  <c r="X169" i="1"/>
  <c r="X184" i="1" l="1"/>
  <c r="X183" i="1"/>
  <c r="X181" i="1"/>
  <c r="X177" i="1"/>
  <c r="X175" i="1"/>
  <c r="W175" i="1"/>
  <c r="X174" i="1"/>
  <c r="W174" i="1"/>
  <c r="X173" i="1"/>
  <c r="W173" i="1"/>
  <c r="X172" i="1"/>
  <c r="X168" i="1"/>
  <c r="X167" i="1"/>
  <c r="X166" i="1"/>
  <c r="X165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0" i="1"/>
  <c r="W140" i="1"/>
  <c r="X139" i="1"/>
  <c r="W139" i="1"/>
  <c r="X138" i="1"/>
  <c r="W138" i="1"/>
  <c r="X137" i="1"/>
  <c r="X136" i="1"/>
  <c r="X135" i="1"/>
  <c r="X134" i="1"/>
  <c r="X133" i="1"/>
  <c r="X132" i="1"/>
  <c r="W132" i="1"/>
  <c r="X131" i="1"/>
  <c r="W131" i="1"/>
  <c r="X130" i="1"/>
  <c r="W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W115" i="1"/>
  <c r="X114" i="1"/>
  <c r="W114" i="1"/>
  <c r="X113" i="1"/>
  <c r="W113" i="1"/>
  <c r="X112" i="1"/>
  <c r="X111" i="1"/>
  <c r="X110" i="1"/>
  <c r="X109" i="1"/>
  <c r="X108" i="1"/>
  <c r="X107" i="1"/>
  <c r="W107" i="1"/>
  <c r="X106" i="1"/>
  <c r="W106" i="1"/>
  <c r="X105" i="1"/>
  <c r="W105" i="1"/>
  <c r="X104" i="1"/>
  <c r="X103" i="1"/>
  <c r="W103" i="1"/>
  <c r="X102" i="1"/>
  <c r="W102" i="1"/>
  <c r="X101" i="1"/>
  <c r="W101" i="1"/>
  <c r="X100" i="1"/>
  <c r="X99" i="1"/>
  <c r="W99" i="1"/>
  <c r="X98" i="1"/>
  <c r="W98" i="1"/>
  <c r="X97" i="1"/>
  <c r="W97" i="1"/>
  <c r="X96" i="1"/>
  <c r="X95" i="1"/>
  <c r="X94" i="1"/>
  <c r="X93" i="1"/>
  <c r="X92" i="1"/>
  <c r="X91" i="1"/>
  <c r="W91" i="1"/>
  <c r="X90" i="1"/>
  <c r="W90" i="1"/>
  <c r="X89" i="1"/>
  <c r="W89" i="1"/>
  <c r="X83" i="1"/>
  <c r="W83" i="1"/>
  <c r="X82" i="1"/>
  <c r="W82" i="1"/>
  <c r="X81" i="1"/>
  <c r="W81" i="1"/>
  <c r="X80" i="1"/>
  <c r="X79" i="1"/>
  <c r="X78" i="1"/>
  <c r="X77" i="1"/>
  <c r="X76" i="1"/>
  <c r="X72" i="1"/>
  <c r="X71" i="1"/>
  <c r="W71" i="1"/>
  <c r="X70" i="1"/>
  <c r="W70" i="1"/>
  <c r="X69" i="1"/>
  <c r="W69" i="1"/>
  <c r="X68" i="1"/>
  <c r="W67" i="1"/>
  <c r="W66" i="1"/>
  <c r="W65" i="1"/>
  <c r="X64" i="1"/>
  <c r="W64" i="1"/>
  <c r="X63" i="1"/>
  <c r="X62" i="1"/>
  <c r="X61" i="1"/>
  <c r="X60" i="1"/>
  <c r="X59" i="1"/>
  <c r="X58" i="1"/>
  <c r="X57" i="1"/>
  <c r="W57" i="1"/>
  <c r="X56" i="1"/>
  <c r="W56" i="1"/>
  <c r="X55" i="1"/>
  <c r="W55" i="1"/>
  <c r="X53" i="1"/>
  <c r="W53" i="1"/>
  <c r="X52" i="1"/>
  <c r="W52" i="1"/>
  <c r="X51" i="1"/>
  <c r="W51" i="1"/>
  <c r="X50" i="1"/>
  <c r="X49" i="1"/>
  <c r="X48" i="1"/>
  <c r="X47" i="1"/>
  <c r="X46" i="1"/>
  <c r="X45" i="1"/>
  <c r="X44" i="1"/>
  <c r="X43" i="1"/>
  <c r="X42" i="1"/>
  <c r="X41" i="1"/>
  <c r="X40" i="1"/>
  <c r="W40" i="1"/>
  <c r="X39" i="1"/>
  <c r="W39" i="1"/>
  <c r="X38" i="1"/>
  <c r="W38" i="1"/>
  <c r="X37" i="1"/>
  <c r="X36" i="1"/>
  <c r="W36" i="1"/>
  <c r="X35" i="1"/>
  <c r="W35" i="1"/>
  <c r="X34" i="1"/>
  <c r="W34" i="1"/>
  <c r="X33" i="1"/>
  <c r="X32" i="1"/>
  <c r="X31" i="1"/>
  <c r="X30" i="1"/>
  <c r="X29" i="1"/>
  <c r="X28" i="1"/>
  <c r="W28" i="1"/>
  <c r="X27" i="1"/>
  <c r="W27" i="1"/>
  <c r="X26" i="1"/>
  <c r="W26" i="1"/>
  <c r="X25" i="1"/>
  <c r="X24" i="1"/>
  <c r="W24" i="1"/>
  <c r="X23" i="1"/>
  <c r="W23" i="1"/>
  <c r="X22" i="1"/>
  <c r="W22" i="1"/>
  <c r="X21" i="1"/>
  <c r="X20" i="1"/>
  <c r="X19" i="1"/>
  <c r="X18" i="1"/>
  <c r="X17" i="1"/>
  <c r="X16" i="1"/>
  <c r="X15" i="1"/>
  <c r="X14" i="1"/>
  <c r="X13" i="1"/>
  <c r="X12" i="1"/>
  <c r="W12" i="1"/>
  <c r="X11" i="1"/>
  <c r="W11" i="1"/>
  <c r="W10" i="1"/>
</calcChain>
</file>

<file path=xl/sharedStrings.xml><?xml version="1.0" encoding="utf-8"?>
<sst xmlns="http://schemas.openxmlformats.org/spreadsheetml/2006/main" count="3678" uniqueCount="1169">
  <si>
    <t>备注</t>
  </si>
  <si>
    <t>EffectId</t>
  </si>
  <si>
    <t>Desc</t>
  </si>
  <si>
    <t>SkillLevel</t>
  </si>
  <si>
    <t>Param1</t>
  </si>
  <si>
    <t>Param2</t>
  </si>
  <si>
    <t>Param3</t>
  </si>
  <si>
    <t>注释-列名</t>
  </si>
  <si>
    <t>效果事件ID</t>
  </si>
  <si>
    <t>技能等级</t>
  </si>
  <si>
    <t>参数1数值（各参数的作用参考该技能在《技能表-生活技能》中引用的事件参数id）</t>
  </si>
  <si>
    <t>参数2数值</t>
  </si>
  <si>
    <t>参数3数值</t>
  </si>
  <si>
    <t>注释-备注</t>
  </si>
  <si>
    <t>不导出</t>
  </si>
  <si>
    <t>注释-类型</t>
  </si>
  <si>
    <t>Int()</t>
  </si>
  <si>
    <t>Float()</t>
  </si>
  <si>
    <t>约束类型</t>
  </si>
  <si>
    <t>1</t>
  </si>
  <si>
    <t>50</t>
  </si>
  <si>
    <t>列字段</t>
  </si>
  <si>
    <t>效果id</t>
  </si>
  <si>
    <t>效果名</t>
  </si>
  <si>
    <t>描述</t>
  </si>
  <si>
    <t>配置参数说明</t>
  </si>
  <si>
    <t>中文列名</t>
  </si>
  <si>
    <t>参数值读取《技能升级参数表-生活技能参数》Param列</t>
  </si>
  <si>
    <t>类型</t>
  </si>
  <si>
    <t>EXTRA_SLEEP_BOX</t>
  </si>
  <si>
    <t>增加日程系统宝箱数量上限</t>
  </si>
  <si>
    <t>额外获得&lt;参数1&gt;个箱子</t>
  </si>
  <si>
    <t>2</t>
  </si>
  <si>
    <t>REFRESH_BLESSING</t>
  </si>
  <si>
    <t>获得祝福刷新选项</t>
  </si>
  <si>
    <t>3</t>
  </si>
  <si>
    <t>EXTRA_SHOP_GOODS</t>
  </si>
  <si>
    <t>商店中概率刷新额外的商品</t>
  </si>
  <si>
    <t>刷新的概率为&lt;参数1&gt;%</t>
  </si>
  <si>
    <t>Id</t>
  </si>
  <si>
    <t>Name</t>
  </si>
  <si>
    <t>MaxLevel</t>
  </si>
  <si>
    <t>Description</t>
  </si>
  <si>
    <t>DescriptionWithParameters</t>
  </si>
  <si>
    <t>VideoPath</t>
  </si>
  <si>
    <t>EffectActionId</t>
  </si>
  <si>
    <t>Owner</t>
  </si>
  <si>
    <t>Icon</t>
  </si>
  <si>
    <t>Type</t>
  </si>
  <si>
    <t>技能ID</t>
  </si>
  <si>
    <t>技能名</t>
  </si>
  <si>
    <t>最大等级</t>
  </si>
  <si>
    <t>简略版描述</t>
  </si>
  <si>
    <t>视频路径</t>
  </si>
  <si>
    <t>事件参数</t>
  </si>
  <si>
    <t>所属角色ID</t>
  </si>
  <si>
    <t>图标</t>
  </si>
  <si>
    <t>技能定位</t>
  </si>
  <si>
    <t>要显示到游戏内的</t>
  </si>
  <si>
    <t>所能达到的最大等级，默认值为数据常量表中的生活技能最大等级</t>
  </si>
  <si>
    <t>简化版技能描述
用于卡牌库展示</t>
  </si>
  <si>
    <t>内容显示在游戏中，如果有参数，参数值读取《生活技能效果事件等级参数》中的param列</t>
  </si>
  <si>
    <t>配空不显示</t>
  </si>
  <si>
    <t>生效事件id，详情见《生活技能效果事件》sheet</t>
  </si>
  <si>
    <t>填写Assets\Art\UI\Icon\skill_icon\路径下的文件名（扩展名.png不填）</t>
  </si>
  <si>
    <t>6.生活</t>
  </si>
  <si>
    <t>Str()</t>
  </si>
  <si>
    <t>200100</t>
  </si>
  <si>
    <t>敬请期待</t>
  </si>
  <si>
    <t>6</t>
  </si>
  <si>
    <t>200400</t>
  </si>
  <si>
    <t>2004</t>
  </si>
  <si>
    <t>200500</t>
  </si>
  <si>
    <t>200700</t>
  </si>
  <si>
    <t>2012</t>
  </si>
  <si>
    <t>明日歌</t>
  </si>
  <si>
    <t>日程系统可存储的宝箱上限+1</t>
  </si>
  <si>
    <t>可存储美梦显影数量上限+1。</t>
  </si>
  <si>
    <t>今日事，明日干。明日事，后日算！那就再存一个美梦显影吧！</t>
  </si>
  <si>
    <t>201800</t>
  </si>
  <si>
    <t>黑卡贵宾</t>
  </si>
  <si>
    <t>商店的隐藏菜单：有概率额外刷出一个道具</t>
  </si>
  <si>
    <t>梦境商店有概率额外刷新出一个商品。</t>
  </si>
  <si>
    <t>黛西小姐赐予梦境商店「顶级荣誉会员」的专属福利——有概率解锁隐藏的黑卡贵宾礼遇！</t>
  </si>
  <si>
    <t>追逐猎物</t>
  </si>
  <si>
    <t>在关卡中获得至多五次消耗瞌睡虫币重新随机回响的机会。</t>
  </si>
  <si>
    <t>狩猎之梦凭借丰富的狩猎经验，为捕梦者额外提供一次选择猎物的机会。解锁该技能后，在同一个关卡中可获得至多五次重新随机回响的机会，重新随机需要消耗瞌睡虫币。</t>
  </si>
  <si>
    <t>2024</t>
  </si>
  <si>
    <t>2026</t>
  </si>
  <si>
    <t>2029</t>
  </si>
  <si>
    <t>2030</t>
  </si>
  <si>
    <t>2035</t>
  </si>
  <si>
    <t>Param4</t>
  </si>
  <si>
    <t>Param5</t>
  </si>
  <si>
    <t>Param6</t>
  </si>
  <si>
    <t>Param7</t>
  </si>
  <si>
    <t>Param8</t>
  </si>
  <si>
    <t>ParamName1</t>
  </si>
  <si>
    <t>ParamName2</t>
  </si>
  <si>
    <t>ParamName3</t>
  </si>
  <si>
    <t>ParamName4</t>
  </si>
  <si>
    <t>ParamName5</t>
  </si>
  <si>
    <t>ParamName6</t>
  </si>
  <si>
    <t>ParamName7</t>
  </si>
  <si>
    <t>ParamName8</t>
  </si>
  <si>
    <t>InvincibilityTime</t>
  </si>
  <si>
    <t>AIAttackControl</t>
  </si>
  <si>
    <t>Tags</t>
  </si>
  <si>
    <t>OriginalCD</t>
  </si>
  <si>
    <t>CDMode</t>
  </si>
  <si>
    <t>CD</t>
  </si>
  <si>
    <t>IsCharge</t>
  </si>
  <si>
    <t>ChargeNum</t>
  </si>
  <si>
    <t>ChargeTime</t>
  </si>
  <si>
    <t>CanCastInState</t>
  </si>
  <si>
    <t>BattleResourceCondition</t>
  </si>
  <si>
    <t>CostMode</t>
  </si>
  <si>
    <t>SearchTargetCondition</t>
  </si>
  <si>
    <t>AutoTriggerCondition</t>
  </si>
  <si>
    <t>LuaCondition</t>
  </si>
  <si>
    <t>InterruptSkillList</t>
  </si>
  <si>
    <t>InterruptControlList</t>
  </si>
  <si>
    <t>GestureList</t>
  </si>
  <si>
    <t>OperateType</t>
  </si>
  <si>
    <t>GestureTag</t>
  </si>
  <si>
    <t xml:space="preserve">BlessingToTag
</t>
  </si>
  <si>
    <t>详细版描述</t>
  </si>
  <si>
    <t>参数1名称</t>
  </si>
  <si>
    <t>参数2名称</t>
  </si>
  <si>
    <t>参数3名称</t>
  </si>
  <si>
    <t>参数4名称</t>
  </si>
  <si>
    <t>参数5名称</t>
  </si>
  <si>
    <t>参数6名称</t>
  </si>
  <si>
    <t>参数7名称</t>
  </si>
  <si>
    <t>参数8名称</t>
  </si>
  <si>
    <t>无敌时间</t>
  </si>
  <si>
    <t>出手控制</t>
  </si>
  <si>
    <t>技能标签</t>
  </si>
  <si>
    <t>初始CD</t>
  </si>
  <si>
    <t xml:space="preserve">CD开始时间 </t>
  </si>
  <si>
    <t>是否充能</t>
  </si>
  <si>
    <t>充能段数</t>
  </si>
  <si>
    <t>单次充能时间</t>
  </si>
  <si>
    <t>受控状态下可施放</t>
  </si>
  <si>
    <t>战斗资源条件</t>
  </si>
  <si>
    <t>资源扣除模式</t>
  </si>
  <si>
    <t>前置目标筛选条件</t>
  </si>
  <si>
    <t>自动触发条件</t>
  </si>
  <si>
    <t>自定义lua条件</t>
  </si>
  <si>
    <t>允许打断技能列表</t>
  </si>
  <si>
    <t>允许打断受控列表</t>
  </si>
  <si>
    <t>技能手势操作列表</t>
  </si>
  <si>
    <t>技能操作类型</t>
  </si>
  <si>
    <t>文字tag</t>
  </si>
  <si>
    <t>祝福与文字tag映射关系</t>
  </si>
  <si>
    <t>策划看的，不导表</t>
  </si>
  <si>
    <t>参数值读取《技能升级参数表》参数数值Param</t>
  </si>
  <si>
    <t>1.普攻
2.防御技
3.主动技
4.大招
5.被动
6.生活</t>
  </si>
  <si>
    <t>技能判定成功释放后的无敌时间（不填默认0）</t>
  </si>
  <si>
    <t>用于跨角色找技能时，确定从哪个角色的文件夹下找</t>
  </si>
  <si>
    <t>0:使用出手控制
1:忽略出手控制</t>
  </si>
  <si>
    <t>索引Tag表</t>
  </si>
  <si>
    <t>技能初始时计算CD，CD结束技能可释放</t>
  </si>
  <si>
    <t>0、进入技能时      1、退出技能时     2、指定CD开始时间在时间轴里配
本功能对进CD和扣充能次数同时生效</t>
  </si>
  <si>
    <t>默认技能第0帧开始算CD</t>
  </si>
  <si>
    <t>指的是可以攒N个连续用的技能。攒的时间需要&gt;CD时间，否则没有意义。
充能技能有其统一的UI表现方式</t>
  </si>
  <si>
    <t>最多可以攒几个，填大于1的正整数，否则无意义</t>
  </si>
  <si>
    <t>部分技能可以在硬直、浮空等受控状态下施放，在这里描述。否则走默认通用逻辑</t>
  </si>
  <si>
    <t>满足某战斗资源≥多少时，才能施放，战斗资源在战斗资源表里定义</t>
  </si>
  <si>
    <t>是否自动扣除战斗资源：0或不填 默认扣除。
填1的话 需要策划自己在轨道上扣除资源</t>
  </si>
  <si>
    <t>先执行该目标筛选，选出来的结果放入searchTargetList，只有在结果不为空时，才能执行技能</t>
  </si>
  <si>
    <t>满足某些条件时，该技能自动触发，而非玩家主动控制施放</t>
  </si>
  <si>
    <t>示例:InState(Hit) or CombatResource(3,20)</t>
  </si>
  <si>
    <t>该技能可以直接打断列表中的任意一个正在运行的技能</t>
  </si>
  <si>
    <t>该技能可以直接打断列表中的任意一个受控状态
(1:硬直 2:浮空 3:异常(破韧/眩晕))</t>
  </si>
  <si>
    <t>0 : 点按
1：长按
2：点按/长按</t>
  </si>
  <si>
    <t>0：点按(按钮长按状态下，会自动释放技能）
1：长按（同上）
2：开关（按钮长按状态下，不会自动释放技能）</t>
  </si>
  <si>
    <t>UI显示文字
索引《文字常量表》</t>
  </si>
  <si>
    <t>格式: id1,tag1|id2,tag2|id3,tag3
后面的配置会覆盖前面的配置
例如同时出现id1和id3, 最终的文字为tag3</t>
  </si>
  <si>
    <t>FP()</t>
  </si>
  <si>
    <t>List(Int())</t>
  </si>
  <si>
    <t>Boolean()</t>
  </si>
  <si>
    <t>List(FP())</t>
  </si>
  <si>
    <t>bool</t>
  </si>
  <si>
    <t>List(Int(),",")</t>
  </si>
  <si>
    <t>冲刺</t>
  </si>
  <si>
    <t>主角冲刺</t>
  </si>
  <si>
    <t>0</t>
  </si>
  <si>
    <t>坐下</t>
  </si>
  <si>
    <t>5</t>
  </si>
  <si>
    <t>站起来</t>
  </si>
  <si>
    <t>像素玩法测试技能</t>
  </si>
  <si>
    <t>2001</t>
  </si>
  <si>
    <t>花种危机</t>
  </si>
  <si>
    <t>测试</t>
  </si>
  <si>
    <t>荆棘之梦掷出种子攻击敌人。命中掉落的【荆棘之种】，会被敌人引爆，爆炸有概率附带【禁锢】。</t>
  </si>
  <si>
    <t>荆棘之梦掷出种子攻击敌人，可进行三次攻击，前两次攻击扔出一个种子，第三次攻击扔出三个种子，每个种子造成&lt;color=#C68334&gt;%1%&lt;/color&gt;攻击力的弹幕伤害。命中的敌人有&lt;color=#C88938&gt;25%&lt;/color&gt;概率0.8秒后掉落【荆棘之种】。
【荆棘之种】会被敌方单位触碰引爆，也可以被荆棘的特性技能【苦痛盛放】引爆，或者被近战攻击触发。引爆后对周围敌人造成&lt;color=#C68334&gt;%2%&lt;/color&gt;攻击力的弹幕伤害，有&lt;color=#C68334&gt;10%&lt;/color&gt;概率附带【禁锢】状态。</t>
  </si>
  <si>
    <t>GetDamage(200101)/100</t>
  </si>
  <si>
    <t>GetDamage(2001000)/100</t>
  </si>
  <si>
    <t>种子伤害</t>
  </si>
  <si>
    <t>荆棘之种伤害</t>
  </si>
  <si>
    <t>4,2001,25</t>
  </si>
  <si>
    <t>0,0,0</t>
  </si>
  <si>
    <t>200101</t>
  </si>
  <si>
    <t>藤花护盾</t>
  </si>
  <si>
    <t>荆棘之梦获得一个护盾，可以格挡敌方伤害。</t>
  </si>
  <si>
    <t>荆棘之梦获得一个【藤花护盾】，护盾持续8秒，可以格挡最多&lt;color=#C68334&gt;%1%&lt;/color&gt;荆棘之梦生命上限的敌方伤害。</t>
  </si>
  <si>
    <t>GetSkillLevelList({10,10.5,11,11.5,12,12.5,13,13.5,14,14.5,15,15.5,16,16.5,17,17.5,18,18.5,19,20},200101)</t>
  </si>
  <si>
    <t>护盾生命百分比</t>
  </si>
  <si>
    <t>10</t>
  </si>
  <si>
    <t>2001,200102</t>
  </si>
  <si>
    <t>200102</t>
  </si>
  <si>
    <t>苦痛盛放</t>
  </si>
  <si>
    <t>荆棘之梦以自身为圆心进行扩散伤害，引爆范围内的【荆棘之种】。</t>
  </si>
  <si>
    <t>荆棘之梦以自身为圆心进行扩散引爆，造成&lt;color=#C68334&gt;%1%&lt;/color&gt;攻击力的弹幕伤害，并引爆扩散范围内的【荆棘之种】。</t>
  </si>
  <si>
    <t>GetDamage(200108)/100</t>
  </si>
  <si>
    <t>苦痛盛放伤害</t>
  </si>
  <si>
    <t>0.2</t>
  </si>
  <si>
    <t>200103</t>
  </si>
  <si>
    <t>荆藤之穹</t>
  </si>
  <si>
    <t>4</t>
  </si>
  <si>
    <t>2,1000</t>
  </si>
  <si>
    <t>2002</t>
  </si>
  <si>
    <t>200201</t>
  </si>
  <si>
    <t>200202</t>
  </si>
  <si>
    <t>8</t>
  </si>
  <si>
    <t>200203</t>
  </si>
  <si>
    <t>2003</t>
  </si>
  <si>
    <t>200301</t>
  </si>
  <si>
    <t>200302</t>
  </si>
  <si>
    <t>200303</t>
  </si>
  <si>
    <t>狂浪</t>
  </si>
  <si>
    <t>深海之梦挥舞武器进行最多4段连续攻击。</t>
  </si>
  <si>
    <t>深海之梦普攻共有四段，前两段分别造成&lt;color=#C68334&gt;%1%&lt;/color&gt;和&lt;color=#C68334&gt;%2%&lt;/color&gt;攻击力的近战伤害，第三段向前突刺造成&lt;color=#C68334&gt;%3%&lt;/color&gt;攻击力的近战伤害，第四段回旋斩击造成&lt;color=#C68334&gt;%4%&lt;/color&gt;攻击力的近战伤害。</t>
  </si>
  <si>
    <t>GetDamage(200401)/100</t>
  </si>
  <si>
    <t>GetDamage(200402)/100</t>
  </si>
  <si>
    <t>GetDamage(200403)/100</t>
  </si>
  <si>
    <t>GetDamage(200404)/100</t>
  </si>
  <si>
    <t>第一段伤害</t>
  </si>
  <si>
    <t>第二段伤害</t>
  </si>
  <si>
    <t>第三段伤害</t>
  </si>
  <si>
    <t>第四段伤害</t>
  </si>
  <si>
    <t>0,0,0,0</t>
  </si>
  <si>
    <t>200401</t>
  </si>
  <si>
    <t>破浪而行</t>
  </si>
  <si>
    <t>深海之梦快速向前方突进，突进期间无敌。突进中按下普攻可以释放斩击。</t>
  </si>
  <si>
    <t xml:space="preserve">深海之梦快速向前方突进，突进期间无敌。突进中释放普攻，可挥出斩击，对敌人造成&lt;color=#C68334&gt;%1%&lt;/color&gt;攻击力的近战伤害。 </t>
  </si>
  <si>
    <t>GetDamage(200405)/100</t>
  </si>
  <si>
    <t>斩击伤害</t>
  </si>
  <si>
    <t>2.5</t>
  </si>
  <si>
    <t>2004,200402</t>
  </si>
  <si>
    <t>200402</t>
  </si>
  <si>
    <t>怒涛</t>
  </si>
  <si>
    <t>召唤巨型触手挥舞武器进行范围斩击，有概率使目标【负伤】。</t>
  </si>
  <si>
    <t xml:space="preserve">深海之梦召唤巨型触手挥舞武器进行斩击，造成&lt;color=#C68334&gt;%1%&lt;/color&gt;攻击力的范围近战伤害，并有&lt;color=#C68334&gt;15%&lt;/color&gt;概率对目标附加&lt;color=#C68334&gt;1&lt;/color&gt;层【负伤】效果。 </t>
  </si>
  <si>
    <t>GetDamage(200406)/100</t>
  </si>
  <si>
    <t>触手斩击伤害</t>
  </si>
  <si>
    <t>1,2004,21</t>
  </si>
  <si>
    <t>200403</t>
  </si>
  <si>
    <t>深渊的呼唤</t>
  </si>
  <si>
    <t>工作分配</t>
  </si>
  <si>
    <t>加班之梦投掷螺丝进行两段远程攻击，最后一段召唤一个【同事木偶】。</t>
  </si>
  <si>
    <t>加班之梦投掷螺丝进行两段远程攻击，每段造成&lt;color=#C68334&gt;%1%&lt;/color&gt;攻击力的弹幕伤害，最后一段召唤一个【同事木偶】，【同事木偶】造成伤害受【背锅者】技能等级影响。</t>
  </si>
  <si>
    <t>GetDamage(200501)/100</t>
  </si>
  <si>
    <t>攻击伤害</t>
  </si>
  <si>
    <t>2005</t>
  </si>
  <si>
    <t>3,2005,26</t>
  </si>
  <si>
    <t>200501</t>
  </si>
  <si>
    <t>背锅者</t>
  </si>
  <si>
    <t>加班之梦被傀儡线提起浮空，一段时间后落地。</t>
  </si>
  <si>
    <t>加班之梦被傀儡线提起浮空，一段时间后落地。【同事木偶】每次攻击造成&lt;color=#C68334&gt;%1%&lt;/color&gt;攻击力的召唤伤害。</t>
  </si>
  <si>
    <t>GetDamage(20050101)/100</t>
  </si>
  <si>
    <t>同事木偶伤害</t>
  </si>
  <si>
    <t>2005,200502</t>
  </si>
  <si>
    <t>200502</t>
  </si>
  <si>
    <t>升职加薪</t>
  </si>
  <si>
    <t>加班之梦召唤1个【老板木偶】。
木偶自动向敌人移动，每次对敌人造成范围伤害。</t>
  </si>
  <si>
    <t>加班之梦召唤1个【老板木偶】，【老板木偶】出现时造成&lt;color=#C68334&gt;%1%&lt;/color&gt;攻击力伤害。【老板木偶】每次对敌人造成&lt;color=#C68334&gt;%2%&lt;/color&gt;攻击力的范围召唤伤害。</t>
  </si>
  <si>
    <t>GetDamage(20050201)/100</t>
  </si>
  <si>
    <t>GetDamage(2005020101)/100</t>
  </si>
  <si>
    <t>爆炸伤害</t>
  </si>
  <si>
    <t>老板木偶伤害</t>
  </si>
  <si>
    <t>3,200501</t>
  </si>
  <si>
    <t>24</t>
  </si>
  <si>
    <t>200503</t>
  </si>
  <si>
    <t>2006</t>
  </si>
  <si>
    <t>200601</t>
  </si>
  <si>
    <t>200602</t>
  </si>
  <si>
    <t>200603</t>
  </si>
  <si>
    <t>2007</t>
  </si>
  <si>
    <t>甜蜜横扫</t>
  </si>
  <si>
    <t>甜食之梦挥动武器进行三段攻击。最后一段附带【甜蜜冲击】，造成圆形范围伤害，有概率附带【眩晕】状态。</t>
  </si>
  <si>
    <t>甜食之梦挥动武器进行三段攻击。左右两段横挥，分别造成&lt;color=#C68334&gt;%1%&lt;/color&gt;和&lt;color=#C68334&gt;%2%&lt;/color&gt;攻击力的近战伤害。最后一段武器砸向目标，造成&lt;color=#C68334&gt;%3%&lt;/color&gt;攻击力的近战伤害，并附带【甜蜜冲击】，造成&lt;color=#C68334&gt;%4%&lt;/color&gt;攻击力的范围近战伤害，有&lt;color=#C68334&gt;10%&lt;/color&gt;概率附带【眩晕】状态。</t>
  </si>
  <si>
    <t>GetDamage(200701)/100</t>
  </si>
  <si>
    <t>GetDamage(200702)/100</t>
  </si>
  <si>
    <t>GetDamage(200705)/100</t>
  </si>
  <si>
    <t>GetDamage(200700)/100</t>
  </si>
  <si>
    <t>甜蜜冲击伤害</t>
  </si>
  <si>
    <t>1,2007,23</t>
  </si>
  <si>
    <t>200701</t>
  </si>
  <si>
    <t>果酱开路</t>
  </si>
  <si>
    <t>甜食之梦向前方突进，下次普攻变为砸地重击，并附带【甜蜜冲击】，有概率附带【眩晕】效果。</t>
  </si>
  <si>
    <t>甜食之梦拖动武器向前方突进，下次普攻变为砸地重击，造成&lt;color=#C68334&gt;%1%&lt;/color&gt;攻击力的近战伤害。并附带【甜蜜冲击】，造成&lt;color=#C68334&gt;%2%&lt;/color&gt;攻击力的范围近战伤害，有&lt;color=#C68334&gt;10%&lt;/color&gt;概率附带【眩晕】状态。</t>
  </si>
  <si>
    <t>GetDamage(2007052)/100</t>
  </si>
  <si>
    <t>GetDamage(20070101)/100</t>
  </si>
  <si>
    <t>重击伤害</t>
  </si>
  <si>
    <t>2007,200702</t>
  </si>
  <si>
    <t>200702</t>
  </si>
  <si>
    <t>旋风甜甜圈</t>
  </si>
  <si>
    <t>长按技能持续发动，消耗能量值，旋转并挥动武器，对周围敌人造成伤害。</t>
  </si>
  <si>
    <t>长按技能持续发动，消耗能量值，甜食之梦旋转并挥动武器，每次对周围敌人造成&lt;color=#C68334&gt;%1%&lt;/color&gt;攻击力的近战伤害，技能施放期间自身移动速度下降。</t>
  </si>
  <si>
    <t>GetDamage(20070201)/100</t>
  </si>
  <si>
    <t>总伤害系数</t>
  </si>
  <si>
    <t>3,1</t>
  </si>
  <si>
    <t>OPERATING_GESTURES_LONGPRESS</t>
  </si>
  <si>
    <t>6200701,OPERATING_GESTURES_CHARGING</t>
  </si>
  <si>
    <t>200703</t>
  </si>
  <si>
    <t>甜度爆表</t>
  </si>
  <si>
    <t>2008</t>
  </si>
  <si>
    <t>急救大作战</t>
  </si>
  <si>
    <t>病愈之梦发射射线攻击敌人，命中后附加【虚弱】效果。</t>
  </si>
  <si>
    <t>病愈之梦发射治疗射线，每秒造成&lt;color=#C68334&gt;%1%&lt;/color&gt;攻击力的射线伤害，释放时自身可移动，射线命中敌人后，将为敌人附加【虚弱】效果。</t>
  </si>
  <si>
    <t>GetDamage(200801)/100</t>
  </si>
  <si>
    <t>射线伤害</t>
  </si>
  <si>
    <t>26</t>
  </si>
  <si>
    <t>200801</t>
  </si>
  <si>
    <t>纯白之羽</t>
  </si>
  <si>
    <t>病愈之梦格挡攻击，并生成2个环绕物【羽翼】。</t>
  </si>
  <si>
    <t>病愈之梦振开翅膀，格挡攻击，并生成2个环绕物【羽翼】，每个【羽翼】可抵挡2次弹幕伤害。进入守护模式时将提高&lt;color=#C68334&gt;%1%&lt;/color&gt;的防御。【羽翼】数量达到上限时，正常触发的【羽翼】将转化为【回击羽翼】，造成&lt;color=#C68334&gt;%2%&lt;/color&gt;攻击力的环绕伤害。</t>
  </si>
  <si>
    <t>GetSkillLevelList({3000,3150,3300,3450,3600,3750,3900,4050,4200,4350,4500,4650,4800,4950,5100,5250,5400,5550,5700,6000},200801)/100</t>
  </si>
  <si>
    <t>GetDamage(20080102)/100</t>
  </si>
  <si>
    <t>守护模式防御增益</t>
  </si>
  <si>
    <t>回击羽翼伤害</t>
  </si>
  <si>
    <t>5,2008</t>
  </si>
  <si>
    <t>2008,200802</t>
  </si>
  <si>
    <t>200802</t>
  </si>
  <si>
    <t>守护天使</t>
  </si>
  <si>
    <t>病愈之梦进入【守护天使】状态，此状态下切换出战梦灵时，病愈之梦会进入守护模式，为当前出战梦灵提高一定的攻击力和防御力。</t>
  </si>
  <si>
    <t>病愈之梦进入【守护天使】状态，【守护天使】状态下切换出战梦灵时，病愈之梦会进入守护模式，为当前出战梦灵提高一定的攻击力和防御力，攻击力提高&lt;color=#C68334&gt;%1%&lt;/color&gt;，防御增益受到【纯白之羽】影响，持续10秒。</t>
  </si>
  <si>
    <t>GetSkillLevelList({1000,1050,1100,1150,1200,1250,1300,1350,1400,1450,1500,1550,1600,1650,1700,1750,1800,1850,1900,2000},200802)/100</t>
  </si>
  <si>
    <t>守护模式攻击增益</t>
  </si>
  <si>
    <t>20</t>
  </si>
  <si>
    <t>200803</t>
  </si>
  <si>
    <t>医学奇迹</t>
  </si>
  <si>
    <t>通用大招</t>
  </si>
  <si>
    <t>2009</t>
  </si>
  <si>
    <t>200901</t>
  </si>
  <si>
    <t>200902</t>
  </si>
  <si>
    <t>200903</t>
  </si>
  <si>
    <t>2010</t>
  </si>
  <si>
    <t>201001</t>
  </si>
  <si>
    <t>201002</t>
  </si>
  <si>
    <t>201003</t>
  </si>
  <si>
    <t>2011</t>
  </si>
  <si>
    <t>斑斓圆舞</t>
  </si>
  <si>
    <t>荒诞之梦使用螺旋刺剑进行3段连续攻击。</t>
  </si>
  <si>
    <t>荒诞之梦使用螺旋刺剑进行连续攻击，第一段前冲刺击，造成&lt;color=#C68334&gt;%1%&lt;/color&gt;攻击力的近战伤害。
第二段交叉攻击，分别造成&lt;color=#C68334&gt;%2%&lt;/color&gt;和&lt;color=#C68334&gt;%3%&lt;/color&gt;攻击力的近战伤害。
第三段快速接近目标，挥出大范围扇形攻击，造成&lt;color=#C68334&gt;%4%&lt;/color&gt;攻击力的近战伤害。</t>
  </si>
  <si>
    <t>GetDamage(201101)/100</t>
  </si>
  <si>
    <t>GetDamage(201102)/100</t>
  </si>
  <si>
    <t>GetDamage(201103)/100</t>
  </si>
  <si>
    <t>GetDamage(201104)/100</t>
  </si>
  <si>
    <t>201101</t>
  </si>
  <si>
    <t>讽刺</t>
  </si>
  <si>
    <t>荒诞之梦向前方冲刺，沿途敌人造成伤害，并且在原地留下1个【替身】。</t>
  </si>
  <si>
    <t>荒诞之梦向前冲刺一段距离，冲刺期间处于【无敌】状态，
对路径上的敌人造成&lt;color=#C68334&gt;%1%&lt;/color&gt;攻击力的近战伤害。技能释放时，荒诞之梦会在原地生成1个【替身】，【替身】继承主人&lt;color=#C68334&gt;100%&lt;/color&gt;属性。【替身】出生时，会向附近的敌人发动【突袭】，造成&lt;color=#C68334&gt;%3%&lt;/color&gt;攻击力的召唤伤害，之后间隔时间发动【斩击】，造成&lt;color=#C68334&gt;%4%&lt;/color&gt;攻击力的召唤伤害。</t>
  </si>
  <si>
    <t>GetDamage(201110)/100</t>
  </si>
  <si>
    <t>GetDamage(20111002)/100</t>
  </si>
  <si>
    <t>GetDamage(20111001)/100</t>
  </si>
  <si>
    <t>冲刺伤害</t>
  </si>
  <si>
    <t>突袭伤害</t>
  </si>
  <si>
    <t>3,2011</t>
  </si>
  <si>
    <t>2011,201102</t>
  </si>
  <si>
    <t>201102</t>
  </si>
  <si>
    <t>荒诞谢幕</t>
  </si>
  <si>
    <t>荒诞之梦释放螺旋剑阵，对周围敌人造成伤害，同时吸收并且指挥这些【替身】进行【突袭】与【斩击】。</t>
  </si>
  <si>
    <t>荒诞之梦释放螺旋剑阵，对自身为中心大范围内的敌人造成&lt;color=#C68334&gt;%1%&lt;/color&gt;攻击力的召唤伤害，技能释放时，会吸收场地内所有的【替身】至自身处，重新指挥这些【替身】进行2次【突袭】与【斩击】。</t>
  </si>
  <si>
    <r>
      <rPr>
        <b/>
        <sz val="10"/>
        <color theme="1"/>
        <rFont val="微软雅黑"/>
        <family val="2"/>
        <charset val="134"/>
      </rPr>
      <t>GetDamage(</t>
    </r>
    <r>
      <rPr>
        <b/>
        <sz val="10"/>
        <color theme="1"/>
        <rFont val="微软雅黑"/>
        <family val="2"/>
        <charset val="134"/>
      </rPr>
      <t>201111</t>
    </r>
    <r>
      <rPr>
        <b/>
        <sz val="10"/>
        <color theme="1"/>
        <rFont val="微软雅黑"/>
        <family val="2"/>
        <charset val="134"/>
      </rPr>
      <t>)/100</t>
    </r>
  </si>
  <si>
    <t>刀阵伤害</t>
  </si>
  <si>
    <t>12</t>
  </si>
  <si>
    <t>真实替身</t>
  </si>
  <si>
    <t>甩甩尾巴</t>
  </si>
  <si>
    <t>毛茸茸之梦前两段使用尾巴攻击，最后一段向前滚动攻击。</t>
  </si>
  <si>
    <t>主动：毛茸茸之梦进行三段攻击，前两段使用爪子分别造成&lt;color=#C68334&gt;%1%&lt;/color&gt;和&lt;color=#C68334&gt;%2%&lt;/color&gt;攻击力的近战伤害，最后一段向前滚动，造成&lt;color=#C68334&gt;%3%&lt;/color&gt;攻击力的近战伤害。
被动：毛茸茸之梦的普攻可以反弹弹幕。</t>
  </si>
  <si>
    <t>GetDamage(201201)/100</t>
  </si>
  <si>
    <t>GetDamage(201202)/100</t>
  </si>
  <si>
    <t>GetDamage(201203)/100</t>
  </si>
  <si>
    <t>201201</t>
  </si>
  <si>
    <t>咻咻腾空</t>
  </si>
  <si>
    <t>毛茸茸之梦翻身起跳，可以在空中跳跃。</t>
  </si>
  <si>
    <t>毛茸茸之梦翻身起跳，消耗积累的生存技能充能次数可进行空中连跳。在空中释放普攻会砸地，造成&lt;color=#C68334&gt;%1%&lt;/color&gt;攻击力的近战伤害。</t>
  </si>
  <si>
    <t>GetDamage(201206)/100</t>
  </si>
  <si>
    <t>砸地伤害</t>
  </si>
  <si>
    <t>2012,201202</t>
  </si>
  <si>
    <t>201202</t>
  </si>
  <si>
    <t>星锤重击</t>
  </si>
  <si>
    <t>星光碎梦</t>
  </si>
  <si>
    <t>毛茸茸之梦投掷【星光气锤】造成伤害，概率附带【眩晕】状态。空中释放掉落毛球，拾取后减少技能冷却。</t>
  </si>
  <si>
    <t>毛茸茸之梦向目标投掷【星光气锤】，造成&lt;color=#C68334&gt;%1%&lt;/color&gt;攻击力的近战伤害，有&lt;color=#C68334&gt;10%&lt;/color&gt;概率附带【眩晕】状态。在空中释放时会提升【眩晕】概率，并爆出4个毛球，每次拾取后将减少0.5秒生存技能【咻咻腾空】和特性技能【星锤重击】冷却时间。</t>
  </si>
  <si>
    <t>GetDamage(20120201)/100</t>
  </si>
  <si>
    <t>锤子伤害</t>
  </si>
  <si>
    <t>1,2012,23</t>
  </si>
  <si>
    <t>201203</t>
  </si>
  <si>
    <t>星光聚力</t>
  </si>
  <si>
    <t>2013</t>
  </si>
  <si>
    <t>201301</t>
  </si>
  <si>
    <t>201302</t>
  </si>
  <si>
    <t>201303</t>
  </si>
  <si>
    <t>2014</t>
  </si>
  <si>
    <t>铁拳搏击</t>
  </si>
  <si>
    <t>战争之梦交替使用左右拳进行三段攻击，第三段会发动【冲拳】，命中目标可积累能量值。</t>
  </si>
  <si>
    <t>战争之梦交替使用左右拳进行三段攻击，第一段造成&lt;color=#C68334&gt;%1%&lt;/color&gt;攻击力的近战伤害，第二段造成3次&lt;color=#C68334&gt;%2%&lt;/color&gt;攻击力的近战伤害，第三段发动【冲拳】造成&lt;color=#C68334&gt;%3%&lt;/color&gt;攻击力的近战伤害，攻击命中目标可积累能量值。</t>
  </si>
  <si>
    <t>GetDamage(201401)/100</t>
  </si>
  <si>
    <t>GetDamage(201402)/100</t>
  </si>
  <si>
    <t>GetDamage(201406)/100</t>
  </si>
  <si>
    <t>1,2014</t>
  </si>
  <si>
    <t>201401</t>
  </si>
  <si>
    <t>重拳出击</t>
  </si>
  <si>
    <t>战争之梦跃起并用拳头砸向地面，对周围造成伤害，并附带【燃烧】状态，命中目标可积累能量值。</t>
  </si>
  <si>
    <t>战争之梦跃起并用拳头砸向地面，对周围造成&lt;color=#C68334&gt;%1%&lt;/color&gt;攻击力的近战伤害，并附带&lt;color=#C68334&gt;3&lt;/color&gt;层【燃烧】状态，攻击命中目标可积累能量值。</t>
  </si>
  <si>
    <t>GetDamage(2014201)/100</t>
  </si>
  <si>
    <t>1,22</t>
  </si>
  <si>
    <t>2014,201402</t>
  </si>
  <si>
    <t>201402</t>
  </si>
  <si>
    <t>枪盾绝响</t>
  </si>
  <si>
    <t>战争之梦挥手召唤枪翼，消耗能量形成盾牌防御。敌人攻击命中会触发完美格挡，并对其造成【眩晕】，期间使用普攻，会发动【冲拳】和【爆裂枪阵】反击。</t>
  </si>
  <si>
    <t>战争之梦挥手召唤枪翼，形成360°盾牌防御，持续消耗能量值，其间可缓慢移动。敌人攻击命中会触发完美格挡，并对其造成1秒【眩晕】，期间使用普攻，会发动【冲拳】和【爆裂枪阵】反击，【冲拳】造成&lt;color=#C68334&gt;%1%&lt;/color&gt;攻击力的近战伤害，【爆裂枪阵】造成4次&lt;color=#C68334&gt;%2%&lt;/color&gt;攻击力的近战伤害。</t>
  </si>
  <si>
    <t>GetDamage(201409)/100</t>
  </si>
  <si>
    <t>GetDamage(201423)/100</t>
  </si>
  <si>
    <t>冲拳反击伤害</t>
  </si>
  <si>
    <t>枪阵伤害</t>
  </si>
  <si>
    <t>1,2014,23</t>
  </si>
  <si>
    <t>0.5</t>
  </si>
  <si>
    <t>4,1</t>
  </si>
  <si>
    <t>专属1替换</t>
  </si>
  <si>
    <t>2014,201401</t>
  </si>
  <si>
    <t>201403</t>
  </si>
  <si>
    <t>呼叫空袭</t>
  </si>
  <si>
    <t>2015</t>
  </si>
  <si>
    <t>推三阻四</t>
  </si>
  <si>
    <t>拖延之梦进行三段远程攻击，第三段攻击生成一个环绕物。</t>
  </si>
  <si>
    <t>拖延之梦投掷拖延球弹幕进行三段远程攻击，造成&lt;color=#C68334&gt;%1%&lt;/color&gt;攻击力的环绕伤害，第三段攻击额外生成一个【拖延球】环绕物，对触碰到的敌人造成伤害，伤害取决于【放缓节奏】等级。</t>
  </si>
  <si>
    <t>GetDamage(201501)/100</t>
  </si>
  <si>
    <t>弹幕伤害</t>
  </si>
  <si>
    <t>5,2015</t>
  </si>
  <si>
    <t>201501</t>
  </si>
  <si>
    <t>放缓节奏</t>
  </si>
  <si>
    <t>拖延之梦展开领域，【时缓】范围内敌人，释放技能时短暂无敌。</t>
  </si>
  <si>
    <t>拖延之梦脚下展开圆形【拖延领域】，领域内敌人会被【时缓】效果影响，降低移动速度和攻击速度。普攻创建的【拖延球】造成&lt;color=#C68334&gt;%1%&lt;/color&gt;攻击力的环绕伤害，释放技能时短暂无敌。</t>
  </si>
  <si>
    <t>GetDamage(201502)/100</t>
  </si>
  <si>
    <t>普攻环绕物伤害</t>
  </si>
  <si>
    <t>2015,201502</t>
  </si>
  <si>
    <t>201502</t>
  </si>
  <si>
    <t>慢中有序</t>
  </si>
  <si>
    <t>拖延之梦召唤并强化【拖延球】。</t>
  </si>
  <si>
    <t>拖延之梦召唤3个【拖延球】，造成&lt;color=#C68334&gt;%1%&lt;/color&gt;攻击力的环绕伤害，并使全部【拖延球】加速旋转，同时旋转范围扩大。</t>
  </si>
  <si>
    <t>GetDamage(201503)/100</t>
  </si>
  <si>
    <t>特性技环绕物伤害</t>
  </si>
  <si>
    <t>201503</t>
  </si>
  <si>
    <t>2016</t>
  </si>
  <si>
    <t>201601</t>
  </si>
  <si>
    <t>201602</t>
  </si>
  <si>
    <t>201603</t>
  </si>
  <si>
    <t>2017</t>
  </si>
  <si>
    <t>201701</t>
  </si>
  <si>
    <t>201702</t>
  </si>
  <si>
    <t>201703</t>
  </si>
  <si>
    <t>2018</t>
  </si>
  <si>
    <t>链舞</t>
  </si>
  <si>
    <t>囚笼之梦挥舞锁链进行三段连续攻击。</t>
  </si>
  <si>
    <t>囚笼之梦挥舞锁链进行3段攻击，第一段造成&lt;color=#C68334&gt;%1%&lt;/color&gt;攻击力的近战伤害。第二段造成&lt;color=#C68334&gt;%2%&lt;/color&gt;攻击力的近战伤害。
第三段造成&lt;color=#C68334&gt;%3%&lt;/color&gt;攻击力的近战伤害。</t>
  </si>
  <si>
    <t>GetDamage(201801)/100</t>
  </si>
  <si>
    <t>GetDamage(201802)/100</t>
  </si>
  <si>
    <t>GetDamage(201805)/100</t>
  </si>
  <si>
    <t>201801</t>
  </si>
  <si>
    <t>不可侵犯</t>
  </si>
  <si>
    <t>囚笼之梦挥舞锁链击退周身敌人，技能释放期间再次按下普攻键会触发囚笼会旋转锁链攻击周围敌人。</t>
  </si>
  <si>
    <t>囚笼之梦挥舞锁链击退周身敌人，造成&lt;color=#C68334&gt;%1%&lt;/color&gt;攻击力的近战伤害，期间有短暂的无敌时间，再次按下普攻键会触发囚笼会旋转锁链攻击周围敌人，造成&lt;color=#C68334&gt;%2%&lt;/color&gt;攻击力的近战伤害。</t>
  </si>
  <si>
    <t>GetDamage(20180101)/100</t>
  </si>
  <si>
    <t>GetDamage(201804)/100</t>
  </si>
  <si>
    <t>击退伤害</t>
  </si>
  <si>
    <t>锁链伤害</t>
  </si>
  <si>
    <t>2018,201802</t>
  </si>
  <si>
    <t>201802</t>
  </si>
  <si>
    <t>不可逾越</t>
  </si>
  <si>
    <t>囚笼之梦召唤巨型【翼心之笼】对范围内敌人造成伤害并且施加【减速】与【禁锢】效果。</t>
  </si>
  <si>
    <t>囚笼之梦召唤巨型【翼心之笼】，落地时造成&lt;color=#C68334&gt;%1%&lt;/color&gt;攻击力的法阵伤害，并形成【殷红迷阵】，对范围内敌人每秒造成&lt;color=#C68334&gt;%2%&lt;/color&gt;攻击力的法阵伤害，并施加1层【减速】效果，叠加至5层时将触发【禁锢】效果，【殷红迷阵】的持续时间为10秒。</t>
  </si>
  <si>
    <t>GetDamage(20180201)/100</t>
  </si>
  <si>
    <t>GetDamage(20180202)/100</t>
  </si>
  <si>
    <t>初始伤害</t>
  </si>
  <si>
    <t>持续伤害</t>
  </si>
  <si>
    <t>7,2018,25</t>
  </si>
  <si>
    <t>15</t>
  </si>
  <si>
    <t>201803</t>
  </si>
  <si>
    <t>圆舞曲</t>
  </si>
  <si>
    <t>召唤囚笼之梦绕身的锁链从前后左右4个方向钻出，对敌人在成伤害，同时锁链会持续旋转攻击附近敌人，造成伤害的同时施加一层【减速】效果。</t>
  </si>
  <si>
    <t>2019</t>
  </si>
  <si>
    <t>安息之梦-普攻</t>
  </si>
  <si>
    <t>收割伤害</t>
  </si>
  <si>
    <t>201901</t>
  </si>
  <si>
    <t>瞬身斩击</t>
  </si>
  <si>
    <t>闪避反击</t>
  </si>
  <si>
    <t>2019,201902</t>
  </si>
  <si>
    <t>201902</t>
  </si>
  <si>
    <t>安息之梦-特性技能</t>
  </si>
  <si>
    <t>死神之影</t>
  </si>
  <si>
    <t>死神之影概率</t>
  </si>
  <si>
    <t>死神之影斩杀血量</t>
  </si>
  <si>
    <t>2019,201901</t>
  </si>
  <si>
    <t>201903</t>
  </si>
  <si>
    <t>安息之梦-大招</t>
  </si>
  <si>
    <t>2020</t>
  </si>
  <si>
    <t>纸牌游戏</t>
  </si>
  <si>
    <t>博弈之梦掷出卡牌进行攻击，前两段每次掷出【纸牌】，第三段掷出【纸牌】和【戏法纸牌】。【纸牌】可以弹射2次，每次弹射会降低伤害，命中时会给目标施加【红心】标记。</t>
  </si>
  <si>
    <t>博弈之梦掷出卡牌进行三段攻击，前两段每次掷出3张【纸牌】，第三段掷出5张【纸牌】和1张【戏法纸牌】。【纸牌】造成&lt;color=#C68334&gt;%1%&lt;/color&gt;攻击力的弹幕伤害，可以弹射2次，每次弹射会降低&lt;color=#C68334&gt;30%&lt;/color&gt;伤害，命中时会给目标施加【红心】标记。【戏法纸牌】造成&lt;color=#C68334&gt;%2%&lt;/color&gt;攻击力的弹幕伤害。</t>
  </si>
  <si>
    <t>GetDamage(202002)/100</t>
  </si>
  <si>
    <t>GetDamage(20200402)/100</t>
  </si>
  <si>
    <t>纸牌伤害</t>
  </si>
  <si>
    <t>普攻戏法纸牌伤害</t>
  </si>
  <si>
    <t>4,2020</t>
  </si>
  <si>
    <t>202001</t>
  </si>
  <si>
    <t>金蝉脱壳</t>
  </si>
  <si>
    <t>博弈之梦在原地留下一个静止【残影】，并朝当前方向瞬移一段距离。当【纸牌】和【王牌】无法找到下个弹射目标时，会以【残影】作为弹射中转，中转不消耗弹射次数。</t>
  </si>
  <si>
    <t>博弈之梦在原地留下一个静止【残影】，并朝当前方向瞬移一段距离。当【纸牌】和【王牌】命中敌人后，无法找到下个弹射目标时，会以【残影】作为弹射中转，中转不消耗弹射次数。</t>
  </si>
  <si>
    <t>GetDamage(20200401)/100</t>
  </si>
  <si>
    <t>弹射戏法纸牌伤害</t>
  </si>
  <si>
    <t>2020,202002</t>
  </si>
  <si>
    <t>202002</t>
  </si>
  <si>
    <t>王牌先行</t>
  </si>
  <si>
    <t>博弈之梦掷出【王牌】攻击目标，可以弹射3次。每次弹射会降低伤害。当【王牌】命中有【红心】标记的目标时，会消除目标身上【红心】标记，并产生【戏法纸牌】。</t>
  </si>
  <si>
    <t>博弈之梦掷出【王牌】攻击目标，造成&lt;color=#C68334&gt;%1%&lt;/color&gt;攻击力的弹幕伤害，并可以弹射3次。每次弹射会降低当前30%伤害。当【王牌】命中有【红心】标记的目标时，会消除目标身上【红心】标记，并产生1张【戏法纸牌】，造成&lt;color=#C68334&gt;%1%&lt;/color&gt;攻击力的弹幕伤害。</t>
  </si>
  <si>
    <t>GetDamage(202004)/100</t>
  </si>
  <si>
    <t>王牌伤害</t>
  </si>
  <si>
    <t>202003</t>
  </si>
  <si>
    <t>王牌决胜</t>
  </si>
  <si>
    <t>2021</t>
  </si>
  <si>
    <t>普攻</t>
  </si>
  <si>
    <t>考试之梦-普攻</t>
  </si>
  <si>
    <t>考试之梦掷出折返的【回力标】，对沿途敌人造成伤害，并附加【监考】标记。【监考】标记达到4层时，造成伤害并消除【监考】标记。【回力标】折返后，生成1个【回力标】环绕物。</t>
  </si>
  <si>
    <t>考试之梦掷出折返的【回力标】，对沿途敌人造成&lt;color=#C68334&gt;%1%&lt;/color&gt;攻击力的弹幕伤害，并附加【监考】标记。【监考】标记达到4层时，造成&lt;color=#C68334&gt;%2%&lt;/color&gt;攻击力的弹幕伤害并消除【监考】标记。【回力标】折返后，生成1个【回力标】环绕物，造成&lt;color=#C68334&gt;%1%&lt;/color&gt;攻击力的环绕物伤害。</t>
  </si>
  <si>
    <t>GetDamage(202101)/100</t>
  </si>
  <si>
    <t>GetDamage(202102)/100</t>
  </si>
  <si>
    <t>GetDamage(202103)/100</t>
  </si>
  <si>
    <t>回力标弹幕伤害</t>
  </si>
  <si>
    <t>监考状态触发伤害</t>
  </si>
  <si>
    <t>回力标环绕物伤害</t>
  </si>
  <si>
    <t>4,5,2021</t>
  </si>
  <si>
    <t>202101</t>
  </si>
  <si>
    <t>生存技</t>
  </si>
  <si>
    <t>考试之梦-生存技</t>
  </si>
  <si>
    <t>考试之梦向前进行一段冲刺，并使得接下来5秒内【回力标】造成的伤害提升。</t>
  </si>
  <si>
    <t>考试之梦向前进行一段冲刺，并使得接下来5s内【回力标】造成的伤害提升&lt;color=#C68334&gt;%1%&lt;/color&gt;。</t>
  </si>
  <si>
    <t>GetSkillLevelList({1,1.05,1.1,1.15,1.2,1.25,1.3,1.35,1.4,1.45,1.5,1.55,1.6,1.65,1.7,1.75,1.8,1.85,1.9,2,},202101)*5+10</t>
  </si>
  <si>
    <t>回力标伤害提升</t>
  </si>
  <si>
    <t>202102</t>
  </si>
  <si>
    <t>主动技</t>
  </si>
  <si>
    <t>考试之梦-主动技</t>
  </si>
  <si>
    <t>释放主动技时若考试之梦拥有的环绕物大于3个，考试之梦释放所有【回力标】环绕物，命中敌人后造成伤害并在敌人头顶召唤【橡皮擦】，【橡皮擦】1秒后下坠造成伤害。若不大于3个，则生成3个【回力标】环绕物。</t>
  </si>
  <si>
    <t>释放主动技时若考试之梦拥有的环绕物大于3个，释放所有【回力标】环绕物，命中敌人后造成&lt;color=#C68334&gt;%1%&lt;/color&gt;攻击力的环绕物伤害并在敌人头顶召唤【橡皮擦】，【橡皮擦】1秒后下坠造成&lt;color=#C68334&gt;%1%&lt;/color&gt;攻击力乘以命中该目标【回力标】数目的环绕物伤害。若不大于3个，则生成3个【回力标】环绕物。</t>
  </si>
  <si>
    <t>GetDamage(20210201)/100</t>
  </si>
  <si>
    <t>GetDamage(20210202)/100</t>
  </si>
  <si>
    <t>橡皮伤害</t>
  </si>
  <si>
    <t>5,2021</t>
  </si>
  <si>
    <t>202103</t>
  </si>
  <si>
    <t>财富狂潮</t>
  </si>
  <si>
    <t xml:space="preserve">长按消耗能量值，暴富之梦将发射【金币子弹】、【纸钞子弹】或【钻石子弹】进行攻击，不同种类的子弹造成的攻击力伤害不同。技能施放期间暴富之梦可缓慢移动。
</t>
  </si>
  <si>
    <t>长按消耗能量值，暴富之梦将发射【金币子弹】、【纸钞子弹】或【钻石子弹】进行攻击，不同种类的子弹造成的攻击力伤害不同。技能施放期间暴富之梦可缓慢移动。
【金币子弹】造成&lt;color=#C68334&gt;%1%&lt;/color&gt;攻击力的弹幕伤害；【纸钞子弹】同时射出3束近程霰弹，造成&lt;color=#C68334&gt;%2%&lt;/color&gt;攻击力的弹幕伤害；【钻石子弹】伤害将取决于【行大运】的等级。</t>
  </si>
  <si>
    <t>GetDamage(202201)/100</t>
  </si>
  <si>
    <t>GetDamage(202202)/100</t>
  </si>
  <si>
    <t>金币伤害</t>
  </si>
  <si>
    <t>纸钞伤害</t>
  </si>
  <si>
    <t>2022</t>
  </si>
  <si>
    <t>4,2022</t>
  </si>
  <si>
    <t>9,0</t>
  </si>
  <si>
    <t>行大运</t>
  </si>
  <si>
    <t>暴富之梦向指定方向翻滚一段距离，翻滚期间自身为【无敌】状态，同时进行1次&lt;color=#C68334&gt;【行运】&lt;/color&gt;，【行运】随机在【金币子弹】、【纸钞子弹】、【钻石子弹】三种普攻模式中切换，并回满能量值。
【行大运】有&lt;color=#C68334&gt;2&lt;/color&gt;次充能。</t>
  </si>
  <si>
    <t>暴富之梦向指定方向翻滚一段距离，翻滚期间自身为【无敌】状态，同时进行1次&lt;color=#C68334&gt;【行运】&lt;/color&gt;，【行运】随机在【金币子弹】、【纸钞子弹】、【钻石子弹】三种普攻模式中切换，并回满能量值。
此时【钻石子弹】将造成&lt;color=#C68334&gt;%1%&lt;/color&gt;攻击力的弹幕伤害。【行大运】有&lt;color=#C68334&gt;2&lt;/color&gt;次充能。</t>
  </si>
  <si>
    <t>GetDamage(202203)/100</t>
  </si>
  <si>
    <t>钻石子弹伤害</t>
  </si>
  <si>
    <t>2022,202202</t>
  </si>
  <si>
    <t>一掷千金</t>
  </si>
  <si>
    <t>根据当前普攻模式，暴富之梦将消耗全部能量值发射【金币炮】、【纸钞炮】或【钻石炮】，炮弹命中敌人造成小范围伤害，并分裂成【金币子弹】、【纸钞子弹】或【钻石子弹】。</t>
  </si>
  <si>
    <t>根据当前普攻模式，暴富之梦将消耗全部能量值发射3枚【金币炮】、【纸钞炮】或【钻石炮】，对应炮弹命中敌人分别造成小范围&lt;color=#C68334&gt;%1%&lt;/color&gt;、&lt;color=#C68334&gt;%2%&lt;/color&gt;、&lt;color=#C68334&gt;%3%&lt;/color&gt;攻击力的弹幕伤害，并分裂成【金币子弹】、【纸钞子弹】或【钻石子弹】。</t>
  </si>
  <si>
    <t>GetDamage(20220201)/100</t>
  </si>
  <si>
    <t>GetDamage(20220202)/100</t>
  </si>
  <si>
    <t>GetDamage(20220203)/100</t>
  </si>
  <si>
    <t>金币炮伤害</t>
  </si>
  <si>
    <t>纸钞炮伤害</t>
  </si>
  <si>
    <t>202203</t>
  </si>
  <si>
    <t>恭喜发财</t>
  </si>
  <si>
    <t>2023</t>
  </si>
  <si>
    <t>狂猎</t>
  </si>
  <si>
    <t>狩猎之梦使用弓箭进行三段射击。
被动：每次普攻后，狩猎之梦会朝当前移动方向进行一段位移。</t>
  </si>
  <si>
    <t>狩猎之梦使用弓箭进行三段攻击，第一段为单发射击。第二段将散射3发箭矢。第三段快速连射2次，每次散射3发箭矢。狩猎之梦的每根箭矢将造成&lt;color=#C68334&gt;%1%&lt;/color&gt;攻击力的弹幕伤害。
被动：每次普攻后，狩猎之梦会朝当前移动方向进行一段位移。</t>
  </si>
  <si>
    <t>GetDamage(202301)/100</t>
  </si>
  <si>
    <t>箭矢伤害</t>
  </si>
  <si>
    <t>202301</t>
  </si>
  <si>
    <t>奔袭</t>
  </si>
  <si>
    <t>狩猎之梦向前方冲刺。
被动：狩猎之梦普攻积累【烈焰强化】状态，状态积累多次将发射【烈阳箭矢】，有概率附带【燃烧】。</t>
  </si>
  <si>
    <t>狩猎之梦向前方冲刺。
被动：狩猎之梦每发射1次箭矢，则积累1次【烈焰强化】状态，【烈焰强化】状态积累&lt;color=#C68334&gt;8&lt;/color&gt;次后，将发射【烈阳箭矢】，造成&lt;color=#C68334&gt;%1%&lt;/color&gt;攻击力的弹幕伤害，有&lt;color=#C68334&gt;50%&lt;/color&gt;概率附带【燃烧】状态。</t>
  </si>
  <si>
    <t>GetDamage(202304)/100</t>
  </si>
  <si>
    <t>【烈阳箭矢】伤害</t>
  </si>
  <si>
    <t>4,2023,22</t>
  </si>
  <si>
    <t>5.5</t>
  </si>
  <si>
    <t>2023,202302</t>
  </si>
  <si>
    <t>202302</t>
  </si>
  <si>
    <t>箭矢如雨</t>
  </si>
  <si>
    <t>狩猎之梦向天空射击，落下箭雨，附带【燃烧】。</t>
  </si>
  <si>
    <t>狩猎之梦向天空射击，将向身前圆形范围内敌人落下箭雨，每次造成&lt;color=#C68334&gt;%1%&lt;/color&gt;攻击力的弹幕伤害，有&lt;color=#C68334&gt;50%&lt;/color&gt;附带【燃烧】状态。</t>
  </si>
  <si>
    <t>GetDamage(202309)/100</t>
  </si>
  <si>
    <t>箭雨伤害</t>
  </si>
  <si>
    <t>22</t>
  </si>
  <si>
    <t>202303</t>
  </si>
  <si>
    <t>沙刺</t>
  </si>
  <si>
    <t>荒漠之梦进行四段攻击，
第四段攻击附加【负伤】。</t>
  </si>
  <si>
    <t>荒漠之梦挥动钩爪进行四段攻击，
前两段爪击分别造成&lt;color=#C68334&gt;%1%&lt;/color&gt;、&lt;color=#C68334&gt;%2%&lt;/color&gt;攻击力的近战伤害。
第三段将化身沙暴，将敌人挑飞，并造成伤害。
第四段使出回旋斩，将造成2次附加1层【负伤】状态的范围伤害。第三、四段伤害取决于【冲沙】等级。</t>
  </si>
  <si>
    <t>GetDamage(202401)/100</t>
  </si>
  <si>
    <t>GetDamage(202402)/100</t>
  </si>
  <si>
    <t>1,21</t>
  </si>
  <si>
    <t>202401</t>
  </si>
  <si>
    <t>冲沙</t>
  </si>
  <si>
    <t>荒漠之梦向前冲刺一段距离。</t>
  </si>
  <si>
    <t>荒漠之梦向前冲刺一段距离，冲刺期间自身为【无敌】状态。普攻第三段造成4次&lt;color=#C68334&gt;%1%&lt;/color&gt;攻击力的近战伤害，第四段造成2次&lt;color=#C68334&gt;%2%&lt;/color&gt;攻击力的近战伤害</t>
  </si>
  <si>
    <t>GetDamage(202404)/100</t>
  </si>
  <si>
    <t>GetDamage(202406)/100</t>
  </si>
  <si>
    <t>普攻第三段伤害</t>
  </si>
  <si>
    <t>普攻第四段伤害</t>
  </si>
  <si>
    <t>2024,202402</t>
  </si>
  <si>
    <t>202402</t>
  </si>
  <si>
    <t>狂沙奇袭</t>
  </si>
  <si>
    <t>荒漠之梦开启&lt;color=#C68334&gt;【覆沙】&lt;/color&gt;形态。提高攻击速度，
普攻前两段概率发射【沙龙卷】。</t>
  </si>
  <si>
    <t>荒漠之梦开启&lt;color=#C68334&gt;【覆沙】&lt;/color&gt;形态，全身被沙尘覆盖，此状态下将提高荒漠之梦&lt;color=#C68334&gt;10%&lt;/color&gt;攻击速度。
【覆沙】状态开启期间，普攻前两段&lt;color=#C68334&gt;30%&lt;/color&gt;概率发射【沙龙卷】，每次【沙龙卷】造成&lt;color=#C68334&gt;%1%&lt;/color&gt;攻击力的近战伤害。</t>
  </si>
  <si>
    <t>GetDamage(20240202)/100</t>
  </si>
  <si>
    <t>沙龙卷伤害</t>
  </si>
  <si>
    <t>1,2024</t>
  </si>
  <si>
    <t>202403</t>
  </si>
  <si>
    <t>沙暴飓风</t>
  </si>
  <si>
    <t>2025</t>
  </si>
  <si>
    <t>202501</t>
  </si>
  <si>
    <t>202502</t>
  </si>
  <si>
    <t>202503</t>
  </si>
  <si>
    <t>召来</t>
  </si>
  <si>
    <t>通灵之梦召唤纸人攻击，前两段攻击召唤【好奇纸人】。 第三段召唤【胆小纸人】。</t>
  </si>
  <si>
    <t>通灵之梦召唤2种纸人进行攻击，前两段攻击将召唤【好奇纸人】，自动追踪目标进行自爆，造成&lt;color=#C68334&gt;%1%&lt;/color&gt;攻击力的召唤伤害。 第三段攻击将召唤【胆小纸人】，连续自爆攻击，每次自爆扣除自身&lt;color=#C68334&gt;25%&lt;/color&gt;生命值。生命值耗尽时，【胆小纸人】进行最后一次自爆并造成伤害。</t>
  </si>
  <si>
    <t>GetDamage(202601)/100</t>
  </si>
  <si>
    <t>【好奇纸人】自爆伤害</t>
  </si>
  <si>
    <t>3,2026,202601</t>
  </si>
  <si>
    <t>202601</t>
  </si>
  <si>
    <t>归去</t>
  </si>
  <si>
    <t>通灵之梦向前位移一段距离，同时召唤【好奇纸人】。</t>
  </si>
  <si>
    <t>通灵之梦向前位移一段距离，同时召唤&lt;color=#C68334&gt;3&lt;/color&gt;个【好奇纸人】。【胆小纸人】爆炸伤害取决于生存技能【归去】等级，爆炸将对周围敌人每次造成&lt;color=#C68334&gt;%1%&lt;/color&gt;攻击力伤害。</t>
  </si>
  <si>
    <t>GetDamage(20260202)/100</t>
  </si>
  <si>
    <t>【胆小纸人】爆炸伤害</t>
  </si>
  <si>
    <t>3,2026</t>
  </si>
  <si>
    <t>2026,202602</t>
  </si>
  <si>
    <t>202602</t>
  </si>
  <si>
    <t>怪奇灵场</t>
  </si>
  <si>
    <t>通灵之梦对周围敌人造成伤害，同时强化【胆小纸人】。</t>
  </si>
  <si>
    <t>通灵之梦向周围释放一个圆形场域，对范围内的敌人造成&lt;color=#C68334&gt;%1%&lt;/color&gt;攻击力的召唤伤害，同时提升范围内的【胆小纸人】&lt;color=#C68334&gt;25%&lt;/color&gt;攻击力。</t>
  </si>
  <si>
    <t>GetDamage(20260201)/100</t>
  </si>
  <si>
    <t>直接伤害</t>
  </si>
  <si>
    <t>202603</t>
  </si>
  <si>
    <t>2027</t>
  </si>
  <si>
    <t>202701</t>
  </si>
  <si>
    <t>202702</t>
  </si>
  <si>
    <t>202703</t>
  </si>
  <si>
    <t>2028</t>
  </si>
  <si>
    <t>完美音浪</t>
  </si>
  <si>
    <t>噪音之梦弹奏吉他，发出【音浪】攻击敌人。</t>
  </si>
  <si>
    <t>噪音之梦弹奏吉他，发出【音浪】攻击敌人，共四段，前两段&lt;color=#C68334&gt;%1%&lt;/color&gt;和&lt;color=#C68334&gt;%2%&lt;/color&gt;攻击力的法阵伤害，第三段旋转跳跃，造成4次&lt;color=#C68334&gt;%3%&lt;/color&gt;攻击力的法阵伤害，第四段造成&lt;color=#C68334&gt;%4%&lt;/color&gt;攻击力的法阵伤害。</t>
  </si>
  <si>
    <t>GetDamage(202801)/100</t>
  </si>
  <si>
    <t>GetDamage(202802)/100</t>
  </si>
  <si>
    <t>GetDamage(202803)/100</t>
  </si>
  <si>
    <t>GetDamage(202804)/100</t>
  </si>
  <si>
    <t>202801</t>
  </si>
  <si>
    <t>踏浪前行</t>
  </si>
  <si>
    <t>噪音之梦向前滑跪冲刺一段距离。</t>
  </si>
  <si>
    <t>噪音之梦向前滑跪冲刺一段距离，造成&lt;color=#C68334&gt;%1%&lt;/color&gt;攻击力的法阵伤害。</t>
  </si>
  <si>
    <t>GetDamage(20280101)/100</t>
  </si>
  <si>
    <t>202802</t>
  </si>
  <si>
    <t>硬核摇滚</t>
  </si>
  <si>
    <t>噪音之梦发出大范围音波，持续聚集敌人，并进入狂热模式，大幅强化普攻。</t>
  </si>
  <si>
    <t>噪音之梦发出大范围音波，持续聚集敌人，并进入8秒狂热模式，大幅强化普攻，使普攻第一、二、四段发出强力【音浪】，造成&lt;color=#C68334&gt;%1%&lt;/color&gt;攻击力的法阵伤害。</t>
  </si>
  <si>
    <t>GetDamage(202805)/100</t>
  </si>
  <si>
    <t>202803</t>
  </si>
  <si>
    <t>202901</t>
  </si>
  <si>
    <t>202902</t>
  </si>
  <si>
    <t>202903</t>
  </si>
  <si>
    <t>棱光波</t>
  </si>
  <si>
    <t>镜之梦操纵手上的魔镜组发出射线攻击敌人，命中目标可积累能量值。</t>
  </si>
  <si>
    <t>镜之梦操纵手上的魔镜组发出射线攻击，共三段，分别造成&lt;color=#C68334&gt;%1%&lt;/color&gt;、&lt;color=#C68334&gt;%2%&lt;/color&gt;和&lt;color=#C68334&gt;%3%&lt;/color&gt;攻击力的射线伤害，攻击命中目标可积累能量值。</t>
  </si>
  <si>
    <t>GetDamage(203001)/100</t>
  </si>
  <si>
    <t>GetDamage(203002)/100</t>
  </si>
  <si>
    <t>GetDamage(203003)/100</t>
  </si>
  <si>
    <t>203001</t>
  </si>
  <si>
    <t>魔镜庇护</t>
  </si>
  <si>
    <t>镜之梦瞬移一段距离，同时获得一个魔镜护盾。</t>
  </si>
  <si>
    <t>镜之梦瞬移一段距离，同时获得一个魔镜护盾，为自己增加&lt;color=#C68334&gt;%1%&lt;/color&gt;最大生命值的护盾值，持续5秒。</t>
  </si>
  <si>
    <t>GetSkillLevelList({1,1.05,1.1,1.15,1.2,1.25,1.3,1.35,1.4,1.45,1.5,1.55,1.6,1.65,1.7,1.75,1.8,1.85,1.9,2,},203001)*5</t>
  </si>
  <si>
    <t>护盾值</t>
  </si>
  <si>
    <t>6.5</t>
  </si>
  <si>
    <t>203002</t>
  </si>
  <si>
    <t>炫光万丈</t>
  </si>
  <si>
    <t>镜之梦消耗全部能量值转化成【炫光】射线环绕自身，释放期间可移动。</t>
  </si>
  <si>
    <t>镜之梦进入悬浮姿态，消耗全部能量值持续释放【炫光】射线，每点能量值转化成1道【炫光】射线，环绕在自身周围，每次命中造成&lt;color=#C68334&gt;%1%&lt;/color&gt;攻击力的射线伤害，释放期间镜之梦可移动。</t>
  </si>
  <si>
    <t>GetDamage(20300201)/100</t>
  </si>
  <si>
    <t>【炫光】射线伤害</t>
  </si>
  <si>
    <t>6,2030</t>
  </si>
  <si>
    <t>15,10</t>
  </si>
  <si>
    <t>203003</t>
  </si>
  <si>
    <t>万花镜炫光炮</t>
  </si>
  <si>
    <t>2031</t>
  </si>
  <si>
    <t>203101</t>
  </si>
  <si>
    <t>203102</t>
  </si>
  <si>
    <t>203103</t>
  </si>
  <si>
    <t>2032</t>
  </si>
  <si>
    <t>拾荒行动</t>
  </si>
  <si>
    <t>点按：贫穷之梦原地进行1次【拾荒】攻击。
长按：贫穷之梦一边移动一边进行【拾荒】攻击，拾荒会产生【废品】陷阱。</t>
  </si>
  <si>
    <t>点按：贫穷之梦原地进行一次【拾荒】，造成&lt;color=#C68334&gt;%1%&lt;/color&gt;攻击力的法阵伤害，【拾荒】后将延迟生成1片【拾荒区】，【拾荒区】消散时有60%概率向周围发射1枚【废品】抛射物。
长按：贫穷之梦一边移动一边【拾荒】。
(【废品】抛射落地后会变成【罐头】、【果皮】、【垃圾袋】中的一种陷阱，梦灵与敌人触碰陷阱后将触发对应效果：【罐头】将在原地生成一个法阵，对范围内目标造成持续伤害；【果皮】将随机选取附近一个敌人砸下垃圾桶，造成一次范围伤害；【垃圾袋】朝最近的敌人方向释放鼠群，造成范围伤害。）</t>
  </si>
  <si>
    <t>GetDamage(203201)/100</t>
  </si>
  <si>
    <t>拾荒伤害</t>
  </si>
  <si>
    <t>7,2032</t>
  </si>
  <si>
    <t>203201</t>
  </si>
  <si>
    <t>空想冲刺</t>
  </si>
  <si>
    <t>贫穷之梦坐上【空想罐】向前方冲刺，沿途生成一片【拾荒区】。</t>
  </si>
  <si>
    <t>贫穷之梦坐上【空想罐】向前方冲刺，对沿途敌人造成&lt;color=#C68334&gt;%1%&lt;/color&gt;攻击力的法阵伤害，并生成1片【拾荒区】。</t>
  </si>
  <si>
    <t>GetDamage(203202)/100</t>
  </si>
  <si>
    <t>2032,203202</t>
  </si>
  <si>
    <t>203202</t>
  </si>
  <si>
    <t>废品大派送</t>
  </si>
  <si>
    <t>贫穷之梦将【空想罐】放下，召唤出玩偶兔对周围敌人造成伤害，吸收场地内所有【废品】并炮击周围的敌人。</t>
  </si>
  <si>
    <t>贫穷之梦将【空想罐】放下，召唤出捡到的玩偶兔，向周围释放一次震荡波造成&lt;color=#C68334&gt;%1%&lt;/color&gt;攻击力的伤害，将【空想罐】改造为【空想罐·炮击】模式，吸收场地内所有【废品】，随机炮击范围内的敌人，造成&lt;color=#C68334&gt;%2%&lt;/color&gt;攻击力的法阵伤害。默认炮击次数为5，吸收【废品】会触发特殊效果炮击，命中敌人时触发【废品】对应效果。</t>
  </si>
  <si>
    <t>GetDamage(203210)/100</t>
  </si>
  <si>
    <t>GetDamage(203203)/100</t>
  </si>
  <si>
    <t>震荡波伤害</t>
  </si>
  <si>
    <t>炮击伤害</t>
  </si>
  <si>
    <t>16</t>
  </si>
  <si>
    <t>203203</t>
  </si>
  <si>
    <t>召唤贫穷之梦的伙伴玩偶兔，操作【空想罐】进行炮击，造成大量伤害。</t>
  </si>
  <si>
    <t>2033</t>
  </si>
  <si>
    <t>礼花弹</t>
  </si>
  <si>
    <t>普攻二连击</t>
  </si>
  <si>
    <t>礼花弹伤害</t>
  </si>
  <si>
    <t>4,2033</t>
  </si>
  <si>
    <t>203301</t>
  </si>
  <si>
    <t>滑步</t>
  </si>
  <si>
    <t>2033,203302</t>
  </si>
  <si>
    <t>203302</t>
  </si>
  <si>
    <t>枪舞</t>
  </si>
  <si>
    <t>最周围释放大量弹幕</t>
  </si>
  <si>
    <t>弹道伤害</t>
  </si>
  <si>
    <t>2034</t>
  </si>
  <si>
    <t>203401</t>
  </si>
  <si>
    <t>203402</t>
  </si>
  <si>
    <t>203403</t>
  </si>
  <si>
    <t>凝结</t>
  </si>
  <si>
    <t>白云形态：云之梦释放【彩虹射线】进行两段远程攻击。
乌云形态：云之梦释放的射线变为【闪电射线】，伤害提高同时折射次数提高2次。</t>
  </si>
  <si>
    <t>0,0</t>
  </si>
  <si>
    <t>203501</t>
  </si>
  <si>
    <t>捉迷藏</t>
  </si>
  <si>
    <t>白云形态：云之梦向前冲刺一段距离，位移期间为【无敌】状态，并且可以穿越障碍物。
乌云形态：云之梦会额外对沿途敌人造成伤害。</t>
  </si>
  <si>
    <t>203502</t>
  </si>
  <si>
    <t>好玩伴</t>
  </si>
  <si>
    <t>白云形态：云之梦召唤【彩虹云朵】跟随在角色头顶，周期性向附近最近敌人释放【彩虹射线】。
乌云形态：云之梦召唤一片【闪电乌云】跟随在角色头顶，周期性向附近敌人释放【闪电射线】。</t>
  </si>
  <si>
    <t>203503</t>
  </si>
  <si>
    <t>2036</t>
  </si>
  <si>
    <t>203601</t>
  </si>
  <si>
    <t>203602</t>
  </si>
  <si>
    <t>203603</t>
  </si>
  <si>
    <t>2037</t>
  </si>
  <si>
    <t>203701</t>
  </si>
  <si>
    <t>203702</t>
  </si>
  <si>
    <t>203703</t>
  </si>
  <si>
    <t>2038</t>
  </si>
  <si>
    <t>203801</t>
  </si>
  <si>
    <t>203802</t>
  </si>
  <si>
    <t>203803</t>
  </si>
  <si>
    <t>2039</t>
  </si>
  <si>
    <t>203901</t>
  </si>
  <si>
    <t>203902</t>
  </si>
  <si>
    <t>203903</t>
  </si>
  <si>
    <t>2040</t>
  </si>
  <si>
    <t>204001</t>
  </si>
  <si>
    <t>2040,204002</t>
  </si>
  <si>
    <t>204002</t>
  </si>
  <si>
    <t>204003</t>
  </si>
  <si>
    <t>齐物刀法</t>
  </si>
  <si>
    <t>侠之梦使用唐刀进行连续四段攻击。
侠之梦的技能可以积累能量值，能量值积累满后侠客进入【物我皆忘】状态，普攻伤害提升并且附带【破招】效果。</t>
  </si>
  <si>
    <t>侠之梦使用唐刀进行连续四段攻击，分别造成&lt;color=#C68334&gt;%1%&lt;/color&gt;、&lt;color=#C68334&gt;%2%&lt;/color&gt;、&lt;color=#C68334&gt;%3%&lt;/color&gt;和&lt;color=#C68334&gt;%4%&lt;/color&gt;攻击力的近战伤害。
侠之梦的技能可以积累能量值，能量值积累满后侠客进入【物我皆忘】状态，一段时间内普攻伤害提升并且附带【破招】效果，【物我皆忘】状态下，能量值会持续流失，至零时移除该状态。
【破招】：当怪物释放攻击行为的瞬间被击中，会强制打断这次攻击行为并使其受到一次较大的韧性削减，破招成功后可以释放【奔龙逐日】。</t>
  </si>
  <si>
    <t>GetDamage(204601)/100</t>
  </si>
  <si>
    <r>
      <rPr>
        <b/>
        <sz val="10"/>
        <color theme="1"/>
        <rFont val="微软雅黑"/>
        <family val="2"/>
        <charset val="134"/>
      </rPr>
      <t>(</t>
    </r>
    <r>
      <rPr>
        <b/>
        <sz val="10"/>
        <color theme="1"/>
        <rFont val="微软雅黑"/>
        <family val="2"/>
        <charset val="134"/>
      </rPr>
      <t>GetDamage(20460</t>
    </r>
    <r>
      <rPr>
        <b/>
        <sz val="10"/>
        <color theme="1"/>
        <rFont val="微软雅黑"/>
        <family val="2"/>
        <charset val="134"/>
      </rPr>
      <t>2</t>
    </r>
    <r>
      <rPr>
        <b/>
        <sz val="10"/>
        <color theme="1"/>
        <rFont val="微软雅黑"/>
        <family val="2"/>
        <charset val="134"/>
      </rPr>
      <t>)</t>
    </r>
    <r>
      <rPr>
        <b/>
        <sz val="10"/>
        <color theme="1"/>
        <rFont val="微软雅黑"/>
        <family val="2"/>
        <charset val="134"/>
      </rPr>
      <t>+GetDamage(204603))</t>
    </r>
    <r>
      <rPr>
        <b/>
        <sz val="10"/>
        <color theme="1"/>
        <rFont val="微软雅黑"/>
        <family val="2"/>
        <charset val="134"/>
      </rPr>
      <t>/100</t>
    </r>
  </si>
  <si>
    <r>
      <rPr>
        <b/>
        <sz val="10"/>
        <color theme="1"/>
        <rFont val="微软雅黑"/>
        <family val="2"/>
        <charset val="134"/>
      </rPr>
      <t>(</t>
    </r>
    <r>
      <rPr>
        <b/>
        <sz val="10"/>
        <color theme="1"/>
        <rFont val="微软雅黑"/>
        <family val="2"/>
        <charset val="134"/>
      </rPr>
      <t>GetDamage(20460</t>
    </r>
    <r>
      <rPr>
        <b/>
        <sz val="10"/>
        <color theme="1"/>
        <rFont val="微软雅黑"/>
        <family val="2"/>
        <charset val="134"/>
      </rPr>
      <t>4</t>
    </r>
    <r>
      <rPr>
        <b/>
        <sz val="10"/>
        <color theme="1"/>
        <rFont val="微软雅黑"/>
        <family val="2"/>
        <charset val="134"/>
      </rPr>
      <t>)</t>
    </r>
    <r>
      <rPr>
        <b/>
        <sz val="10"/>
        <color theme="1"/>
        <rFont val="微软雅黑"/>
        <family val="2"/>
        <charset val="134"/>
      </rPr>
      <t>*2+GetDamage(204612))</t>
    </r>
    <r>
      <rPr>
        <b/>
        <sz val="10"/>
        <color theme="1"/>
        <rFont val="微软雅黑"/>
        <family val="2"/>
        <charset val="134"/>
      </rPr>
      <t>/100</t>
    </r>
  </si>
  <si>
    <r>
      <rPr>
        <b/>
        <sz val="10"/>
        <color theme="1"/>
        <rFont val="微软雅黑"/>
        <family val="2"/>
        <charset val="134"/>
      </rPr>
      <t>GetDamage(2046</t>
    </r>
    <r>
      <rPr>
        <b/>
        <sz val="10"/>
        <color theme="1"/>
        <rFont val="微软雅黑"/>
        <family val="2"/>
        <charset val="134"/>
      </rPr>
      <t>13</t>
    </r>
    <r>
      <rPr>
        <b/>
        <sz val="10"/>
        <color theme="1"/>
        <rFont val="微软雅黑"/>
        <family val="2"/>
        <charset val="134"/>
      </rPr>
      <t>)/100</t>
    </r>
  </si>
  <si>
    <t>1,204601,204605</t>
  </si>
  <si>
    <t>问影身法</t>
  </si>
  <si>
    <t>侠之梦拖着唐刀快速向前狂奔，狂奔期间无敌，
按下普攻按键，释放向上方的斩击。</t>
  </si>
  <si>
    <t>侠之梦拖着唐刀快速向前狂奔，狂奔期间无敌，
按下普攻按键，释放向上方的斩击，对敌人造成&lt;color=#C68334&gt;%1%&lt;/color&gt;攻击力的近战伤害。</t>
  </si>
  <si>
    <r>
      <rPr>
        <b/>
        <sz val="10"/>
        <color theme="1"/>
        <rFont val="微软雅黑"/>
        <family val="2"/>
        <charset val="134"/>
      </rPr>
      <t>GetDamage(20460</t>
    </r>
    <r>
      <rPr>
        <b/>
        <sz val="10"/>
        <color theme="1"/>
        <rFont val="微软雅黑"/>
        <family val="2"/>
        <charset val="134"/>
      </rPr>
      <t>5</t>
    </r>
    <r>
      <rPr>
        <b/>
        <sz val="10"/>
        <color theme="1"/>
        <rFont val="微软雅黑"/>
        <family val="2"/>
        <charset val="134"/>
      </rPr>
      <t>)/100</t>
    </r>
  </si>
  <si>
    <r>
      <rPr>
        <sz val="9"/>
        <color theme="1"/>
        <rFont val="微软雅黑"/>
        <family val="2"/>
        <charset val="134"/>
      </rPr>
      <t>2046,20460</t>
    </r>
    <r>
      <rPr>
        <sz val="9"/>
        <color theme="1"/>
        <rFont val="微软雅黑"/>
        <family val="2"/>
        <charset val="134"/>
      </rPr>
      <t>2</t>
    </r>
  </si>
  <si>
    <t>归一斩</t>
  </si>
  <si>
    <t xml:space="preserve">点按：侠之梦向前方横挥唐刀斩击。
长按：侠之梦进行蓄力，蓄力满后侠之梦将向前方突进一段距离挥动唐刀进行斩击
命中怪物攻击的瞬间，触发【破招】效果，可以释放绝技【乘云斩】，造成大量伤害。
</t>
  </si>
  <si>
    <t xml:space="preserve">点按：侠之梦向前方横挥唐刀突击小段距离，造成&lt;color=#C68334&gt;%2%&lt;/color&gt;攻击力的近战伤害。
长按：侠之梦收刀蓄力，蓄力满时松开按键，侠之梦将向前方突进一段距离挥动唐刀进行攻击，造成&lt;color=#C68334&gt;%1%&lt;/color&gt;攻击力的近战伤害。
命中怪物释放攻击招式瞬间时，将触发【破招】效果，此时按下普攻按键或者特性技能按键将释放绝技【乘云斩】，造成&lt;color=#C68334&gt;%3%&lt;/color&gt;攻击力的近战伤害。
</t>
  </si>
  <si>
    <t>GetDamage(204607)/100</t>
  </si>
  <si>
    <t>GetDamage(204615)/100</t>
  </si>
  <si>
    <t>GetDamage(204608)/100</t>
  </si>
  <si>
    <t>蓄力满伤害</t>
  </si>
  <si>
    <t>乘云斩伤害</t>
  </si>
  <si>
    <t>1,204601</t>
  </si>
  <si>
    <t>侠客登龙斩</t>
  </si>
  <si>
    <t>18</t>
  </si>
  <si>
    <t>30</t>
  </si>
  <si>
    <t>3001</t>
  </si>
  <si>
    <t>300101</t>
  </si>
  <si>
    <t>3002</t>
  </si>
  <si>
    <t>3003</t>
  </si>
  <si>
    <t>3004</t>
  </si>
  <si>
    <t>小E防御</t>
  </si>
  <si>
    <t>防御</t>
  </si>
  <si>
    <t>护盾攻击</t>
  </si>
  <si>
    <t>小e护盾攻击</t>
  </si>
  <si>
    <t>护盾冲撞</t>
  </si>
  <si>
    <t>小e冲撞</t>
  </si>
  <si>
    <t>4001</t>
  </si>
  <si>
    <t>小猪存钱罐-普通</t>
  </si>
  <si>
    <t>小猪存钱罐-攻击</t>
  </si>
  <si>
    <t>小猪存钱罐-死亡</t>
  </si>
  <si>
    <t>加班召唤物1攻击</t>
  </si>
  <si>
    <t>加班召唤物2攻击</t>
  </si>
  <si>
    <t>爽约召唤物1攻击</t>
  </si>
  <si>
    <t>爽约召唤物2攻击</t>
  </si>
  <si>
    <t>通灵召唤物一攻击</t>
  </si>
  <si>
    <t>通灵召唤物一死亡</t>
  </si>
  <si>
    <t>通灵召唤物二攻击</t>
  </si>
  <si>
    <t>通灵召唤物二死亡</t>
  </si>
  <si>
    <t>花园鳗-弹幕1</t>
  </si>
  <si>
    <t>花园鳗-弹幕2</t>
  </si>
  <si>
    <t>花园鳗-激光</t>
  </si>
  <si>
    <t>花园鳗-表演</t>
  </si>
  <si>
    <t>花园鳗-钻地</t>
  </si>
  <si>
    <t>花园鳗-弹幕1强化</t>
  </si>
  <si>
    <t>花园鳗-弹幕2强化</t>
  </si>
  <si>
    <t>花园鳗-激光强化</t>
  </si>
  <si>
    <r>
      <rPr>
        <sz val="9"/>
        <color theme="1"/>
        <rFont val="微软雅黑"/>
        <family val="2"/>
        <charset val="134"/>
      </rPr>
      <t>1</t>
    </r>
    <r>
      <rPr>
        <sz val="9"/>
        <color theme="1"/>
        <rFont val="微软雅黑"/>
        <family val="2"/>
        <charset val="134"/>
      </rPr>
      <t>0</t>
    </r>
  </si>
  <si>
    <t>鲨鱼 劈砍</t>
  </si>
  <si>
    <t>鲨鱼 三连击</t>
  </si>
  <si>
    <t>技能 CD = 10s</t>
  </si>
  <si>
    <t>鲨鱼 点灯</t>
  </si>
  <si>
    <t>大招 CD = 20s</t>
  </si>
  <si>
    <t>鲨鱼队长劈砍</t>
  </si>
  <si>
    <t>海马 冲刺（远处）</t>
  </si>
  <si>
    <t>远处释放</t>
  </si>
  <si>
    <t>海马 放电</t>
  </si>
  <si>
    <t>海马 冲刺（近处）</t>
  </si>
  <si>
    <t>近处释放</t>
  </si>
  <si>
    <t>宝箱章鱼-挥击</t>
  </si>
  <si>
    <t>宝箱章鱼-二连挥击</t>
  </si>
  <si>
    <t>宝箱章鱼-砸地</t>
  </si>
  <si>
    <t>宝箱章鱼-2*砸地</t>
  </si>
  <si>
    <t>宝箱章鱼-投掷海螺</t>
  </si>
  <si>
    <t>宝箱章鱼-投掷海螺plus</t>
  </si>
  <si>
    <t>宝箱章鱼-投掷金币</t>
  </si>
  <si>
    <t>宝箱章鱼-投掷石头</t>
  </si>
  <si>
    <t>宝箱章鱼-白-喷墨汁</t>
  </si>
  <si>
    <t>宝箱章鱼-白-喷墨汁plus</t>
  </si>
  <si>
    <t>宝箱章鱼-绿-饮酒</t>
  </si>
  <si>
    <t>180</t>
  </si>
  <si>
    <t>水母-弹幕</t>
  </si>
  <si>
    <t>水母-幽灵步</t>
  </si>
  <si>
    <t>水母-法术场(队长)</t>
  </si>
  <si>
    <t>水母队长-弹幕</t>
  </si>
  <si>
    <t>水母彩-弹幕</t>
  </si>
  <si>
    <t>水母彩-防御</t>
  </si>
  <si>
    <t>水母彩-法术场</t>
  </si>
  <si>
    <t>水母彩-多个弹幕</t>
  </si>
  <si>
    <t>射线无眠虫-射线</t>
  </si>
  <si>
    <t>射线无眠虫-远离</t>
  </si>
  <si>
    <t>序章专用</t>
  </si>
  <si>
    <t>999</t>
  </si>
  <si>
    <t>持续抛射1</t>
  </si>
  <si>
    <t>持续抛射加强</t>
  </si>
  <si>
    <t>中间向外抛射</t>
  </si>
  <si>
    <t>角落向四周抛射</t>
  </si>
  <si>
    <t>散射</t>
  </si>
  <si>
    <t>环绕</t>
  </si>
  <si>
    <t>预留</t>
  </si>
  <si>
    <t>钻地纯位移</t>
  </si>
  <si>
    <t>钻出放弹幕</t>
  </si>
  <si>
    <t>黑龙弹幕</t>
  </si>
  <si>
    <t>黑龙弹幕大招</t>
  </si>
  <si>
    <t>蓝龙弹幕</t>
  </si>
  <si>
    <t>蓝龙弹幕大招</t>
  </si>
  <si>
    <t>甩头</t>
  </si>
  <si>
    <t>甩头2</t>
  </si>
  <si>
    <t>甩头4</t>
  </si>
  <si>
    <t>前冲</t>
  </si>
  <si>
    <t>砸地</t>
  </si>
  <si>
    <t>前后砸地</t>
  </si>
  <si>
    <t>砸地放海浪</t>
  </si>
  <si>
    <t>大风车</t>
  </si>
  <si>
    <t>召唤</t>
  </si>
  <si>
    <t>雷</t>
  </si>
  <si>
    <t>海德拉 挥砍</t>
  </si>
  <si>
    <t>海德拉 刺击</t>
  </si>
  <si>
    <t>海德拉 砸地</t>
  </si>
  <si>
    <t>海德拉 三连锤</t>
  </si>
  <si>
    <t>海德拉 船横扫</t>
  </si>
  <si>
    <t>海德拉 弹幕</t>
  </si>
  <si>
    <t>海德拉 插地</t>
  </si>
  <si>
    <t>海德拉 吼叫</t>
  </si>
  <si>
    <t>海德拉 激光</t>
  </si>
  <si>
    <t>17</t>
  </si>
  <si>
    <t>海德拉 吟唱</t>
  </si>
  <si>
    <t>海德拉 捶地-冲击波</t>
  </si>
  <si>
    <t>海德拉 转阶段船战</t>
  </si>
  <si>
    <t>海德拉 1转2</t>
  </si>
  <si>
    <t>海德拉 2转3</t>
  </si>
  <si>
    <t>沙发人-技能1</t>
  </si>
  <si>
    <t>沙发人-技能2</t>
  </si>
  <si>
    <t>沙发人-技能3</t>
  </si>
  <si>
    <t>沙发人-技能4</t>
  </si>
  <si>
    <t>沙发人-技能5</t>
  </si>
  <si>
    <t>沙发人-技能6</t>
  </si>
  <si>
    <t>讨债人1：冲刺</t>
  </si>
  <si>
    <t>讨债人1：三连击</t>
  </si>
  <si>
    <t>讨债人1：击退</t>
  </si>
  <si>
    <t>讨债人1：冲刺变招</t>
  </si>
  <si>
    <t>讨债人1：二连挥击</t>
  </si>
  <si>
    <t>讨债人1：连续冲刺</t>
  </si>
  <si>
    <t>讨债人2：位移</t>
  </si>
  <si>
    <t>讨债人2：普通连射</t>
  </si>
  <si>
    <t>讨债人2：弹跳弹幕</t>
  </si>
  <si>
    <t>讨债人2：旋转弹幕</t>
  </si>
  <si>
    <t>讨债人2：对空射击</t>
  </si>
  <si>
    <t>讨债人2：召唤枪阵</t>
  </si>
  <si>
    <t>讨债人2：纸钞浪</t>
  </si>
  <si>
    <t>讨债人2：弹幕雨</t>
  </si>
  <si>
    <t>讨债人2：环形纸钞</t>
  </si>
  <si>
    <t>讨债人2：跟踪弹幕</t>
  </si>
  <si>
    <t>讨债人2：天降金猪</t>
  </si>
  <si>
    <t>讨债人2：闪现至中央</t>
  </si>
  <si>
    <t>讨债人2：召唤小怪</t>
  </si>
  <si>
    <t>60</t>
  </si>
  <si>
    <t>讨债人2：开场瞬移</t>
  </si>
  <si>
    <t>讨债人2：转阶段</t>
  </si>
  <si>
    <t>9999</t>
  </si>
  <si>
    <t>讨债人2：召唤机关枪弹幕</t>
  </si>
  <si>
    <t>讨债人一踩踏</t>
  </si>
  <si>
    <t>好员工 挥砍</t>
  </si>
  <si>
    <t>好员工 刺击</t>
  </si>
  <si>
    <t>好员工 砸地</t>
  </si>
  <si>
    <t>好员工 三连锤</t>
  </si>
  <si>
    <t>好员工 船横扫</t>
  </si>
  <si>
    <t>好员工 弹幕</t>
  </si>
  <si>
    <t>荒诞幻影斩击-CD</t>
  </si>
  <si>
    <t>荒诞幻影斩击-无视CD</t>
  </si>
  <si>
    <t>荒诞幻影-出生技能1</t>
  </si>
  <si>
    <t>荒诞幻影-主动技能效果</t>
  </si>
  <si>
    <t>荒诞幻影-飞回主人</t>
  </si>
  <si>
    <t>荒诞幻影-大招</t>
  </si>
  <si>
    <t>事件关卡-梦灵挑战-荒诞幻影斩击</t>
  </si>
  <si>
    <t>事件关卡-梦灵挑战-荒诞幻影-技能1</t>
  </si>
  <si>
    <t>事件关卡-梦灵挑战-荒诞幻影-技能2</t>
  </si>
  <si>
    <t>荒诞幻影飞回主人-技能</t>
  </si>
  <si>
    <t>荒诞幻影出生突刺-祝福</t>
  </si>
  <si>
    <t>幻影乱舞</t>
  </si>
  <si>
    <t>金币发射</t>
  </si>
  <si>
    <t>5007901</t>
  </si>
  <si>
    <t>自爆加速</t>
  </si>
  <si>
    <t>主动自爆</t>
  </si>
  <si>
    <t>被动自爆</t>
  </si>
  <si>
    <t>撞击</t>
  </si>
  <si>
    <t>召唤无眠虫召唤</t>
  </si>
  <si>
    <t>9</t>
  </si>
  <si>
    <t>310001</t>
  </si>
  <si>
    <t>裁缝布偶-挥一刀</t>
  </si>
  <si>
    <t>310002</t>
  </si>
  <si>
    <t>裁缝布偶-转圈圈</t>
  </si>
  <si>
    <t>7</t>
  </si>
  <si>
    <t>310101</t>
  </si>
  <si>
    <t>埋弹布偶-扔雷</t>
  </si>
  <si>
    <t>311001</t>
  </si>
  <si>
    <t>弓手线偶-射箭</t>
  </si>
  <si>
    <t>310004</t>
  </si>
  <si>
    <t>裁缝布偶 队长-三角圈圈</t>
  </si>
  <si>
    <t>13</t>
  </si>
  <si>
    <t>310005</t>
  </si>
  <si>
    <t>裁缝布偶 队长-追踪圈圈</t>
  </si>
  <si>
    <t>310007</t>
  </si>
  <si>
    <t>裁缝布偶 队长- 挥一刀</t>
  </si>
  <si>
    <t>弓手线偶队长-射箭</t>
  </si>
  <si>
    <t>持续射箭</t>
  </si>
  <si>
    <t>多发射箭</t>
  </si>
  <si>
    <t>召唤无眠虫队长召唤</t>
  </si>
  <si>
    <t>召唤小怪</t>
  </si>
  <si>
    <t>召唤无眠虫队长闪避</t>
  </si>
  <si>
    <t>位移离开</t>
  </si>
  <si>
    <t>召唤蜥蜴</t>
  </si>
  <si>
    <t>25</t>
  </si>
  <si>
    <t>召唤蝙蝠</t>
  </si>
  <si>
    <t>召唤激光虫</t>
  </si>
  <si>
    <t>召唤140003，自爆虫子</t>
  </si>
  <si>
    <t>盒唱家纸偶-增益</t>
  </si>
  <si>
    <t>盒唱家纸偶-普攻弹幕</t>
  </si>
  <si>
    <t>盒唱家纸偶-加血</t>
  </si>
  <si>
    <t>盒唱家纸偶队长-增益</t>
  </si>
  <si>
    <t>盒唱家纸偶队长-全屏弹幕</t>
  </si>
  <si>
    <t>盒唱家纸偶队长-加血</t>
  </si>
  <si>
    <t>盒唱家纸偶队长-环绕物</t>
  </si>
  <si>
    <t>盒唱家纸偶-弹幕</t>
  </si>
  <si>
    <t>滚动蜥蜴-撕咬</t>
  </si>
  <si>
    <t>滚滚蜥-追击</t>
  </si>
  <si>
    <t>滚滚蜥-长蓄力追击</t>
  </si>
  <si>
    <t>洛丽塔兔偶小怪-普攻挥砍</t>
  </si>
  <si>
    <t>洛丽塔兔偶队长-蓄力挥砍</t>
  </si>
  <si>
    <t>洛丽塔兔偶队长-拖刀斩</t>
  </si>
  <si>
    <t>洛丽塔兔偶队长-普攻挥砍</t>
  </si>
  <si>
    <t>刺刺蝠-瞬移</t>
  </si>
  <si>
    <t>刺刺蝠-爪击</t>
  </si>
  <si>
    <t>刺刺蝠队长-瞬移</t>
  </si>
  <si>
    <t>暂弃用</t>
  </si>
  <si>
    <t>刺刺蝠队长-爪击</t>
  </si>
  <si>
    <t>刺刺蝠-瞬移-远离</t>
  </si>
  <si>
    <t>刺刺蝠队长-瞬移爪击</t>
  </si>
  <si>
    <t>刺刺蝠队长-瞬移-远离</t>
  </si>
  <si>
    <t>7m</t>
  </si>
  <si>
    <t>D-挥砍</t>
  </si>
  <si>
    <t>D-跳劈</t>
  </si>
  <si>
    <t>D队长-挥砍</t>
  </si>
  <si>
    <t>D队长-跳劈</t>
  </si>
  <si>
    <t>D队长-冲刺</t>
  </si>
  <si>
    <t>举旗子测试-砍一刀</t>
  </si>
  <si>
    <t>举旗子测试-砍两刀</t>
  </si>
  <si>
    <t>举旗子测试-砍一刀回idle</t>
  </si>
  <si>
    <t>举旗子测试-砍两刀回idle</t>
  </si>
  <si>
    <t>小B-投弹</t>
  </si>
  <si>
    <t>小B队长-投弹-大</t>
  </si>
  <si>
    <t>小B队长-投弹-三连（横）</t>
  </si>
  <si>
    <t>小B队长-投弹-三连（脸）</t>
  </si>
  <si>
    <t>小B队长-投弹-三连（纵）</t>
  </si>
  <si>
    <t>小C-弹幕</t>
  </si>
  <si>
    <t>小C-瞬移弹幕</t>
  </si>
  <si>
    <t>小C队长-多个弹幕</t>
  </si>
  <si>
    <t>小C队长-瞬移多个弹幕</t>
  </si>
  <si>
    <t>宝箱守护者-触手拍击</t>
  </si>
  <si>
    <t>宝箱守护者-触手拍击4</t>
  </si>
  <si>
    <t>宝箱守护者-跳砸</t>
  </si>
  <si>
    <t>宝箱守护者-触手砸地</t>
  </si>
  <si>
    <t>宝箱守护者-抛射墨水</t>
  </si>
  <si>
    <t>宝箱守护者-冲撞</t>
  </si>
  <si>
    <t>宝箱守护者-召唤</t>
  </si>
  <si>
    <t>宝箱守护者-冲刺圆环</t>
  </si>
  <si>
    <t>宝箱守护者-大招1</t>
  </si>
  <si>
    <t>宝箱守护者-大招2</t>
  </si>
  <si>
    <t>吞钱猫跳跃攻击</t>
  </si>
  <si>
    <t>考官-粉笔刷大风车（移动）</t>
  </si>
  <si>
    <t>考官-粉笔弹幕</t>
  </si>
  <si>
    <t>考官-教鞭攻击1</t>
  </si>
  <si>
    <t>考官-教鞭攻击2</t>
  </si>
  <si>
    <t>举旗子测试技能</t>
  </si>
  <si>
    <t>变身</t>
  </si>
  <si>
    <t>砍一刀回idle</t>
  </si>
  <si>
    <t>砍两刀回idle</t>
  </si>
  <si>
    <t>砍两刀</t>
  </si>
  <si>
    <t>砍一刀</t>
  </si>
  <si>
    <t>答错了</t>
  </si>
  <si>
    <t>宝箱章鱼-触手攻击</t>
  </si>
  <si>
    <t>宝箱章鱼-跳跃下砸</t>
  </si>
  <si>
    <t>宝箱章鱼-桅杆拍打</t>
  </si>
  <si>
    <t>宝箱章鱼-喷吐墨水</t>
  </si>
  <si>
    <t>宝箱章鱼-冲刺</t>
  </si>
  <si>
    <t>宝箱章鱼-触手六角拍击</t>
  </si>
  <si>
    <t>宝箱章鱼-召唤</t>
  </si>
  <si>
    <t>好孩子技能测试</t>
  </si>
  <si>
    <t>考官boss1-旋转追击</t>
  </si>
  <si>
    <t>考官boss1-弹幕</t>
  </si>
  <si>
    <t>考官boss1-挥臂下砸</t>
  </si>
  <si>
    <t>接连发弹幕</t>
  </si>
  <si>
    <t>考官boss1-教鞭横劈</t>
  </si>
  <si>
    <t>考官boss1-跳砸</t>
  </si>
  <si>
    <t>考官boss1-跳砸横砍</t>
  </si>
  <si>
    <t>呆呆员工大风车</t>
  </si>
  <si>
    <t>呆呆员工普通攻击</t>
  </si>
  <si>
    <t>呆呆员工电磁火花</t>
  </si>
  <si>
    <t>呆呆员工自毁</t>
  </si>
  <si>
    <t>呆呆员工复活</t>
  </si>
  <si>
    <t>愣愣考生：攻击</t>
  </si>
  <si>
    <t>愣愣考生：弹幕</t>
  </si>
  <si>
    <t>愣愣考生：格挡</t>
  </si>
  <si>
    <t>贫穷玩偶兔开炮</t>
  </si>
  <si>
    <t>贫穷玩偶兔大招炮弹</t>
  </si>
  <si>
    <t>吞钱猫冲刺撞人</t>
  </si>
  <si>
    <t>吞钱猫跳砸</t>
  </si>
  <si>
    <t>吞钱猫队长冲刺撞人</t>
  </si>
  <si>
    <t>吞钱猫队长跳砸</t>
  </si>
  <si>
    <t>吞钱猫队长召唤法术场</t>
  </si>
  <si>
    <t>弹幕龙：爆开弹幕</t>
  </si>
  <si>
    <t>弹幕龙：激光</t>
  </si>
  <si>
    <t>弹幕龙：快速弹幕1</t>
  </si>
  <si>
    <t>弹幕龙：快速弹幕2</t>
  </si>
  <si>
    <t>弹幕龙激光</t>
  </si>
  <si>
    <t>陷阱龙：陷阱弹幕</t>
  </si>
  <si>
    <t>陷阱龙：召唤</t>
  </si>
  <si>
    <t>陷阱龙：水母圈</t>
  </si>
  <si>
    <t>英雄实体销毁</t>
  </si>
  <si>
    <t>逃跑章鱼扑咬</t>
  </si>
  <si>
    <t>推销员枪子弹</t>
  </si>
  <si>
    <t>推销员枪购物车弹幕</t>
  </si>
  <si>
    <t>推销员拐棍近战</t>
  </si>
  <si>
    <t>推销员拐棍法场</t>
  </si>
  <si>
    <t>对周围4M范围内所有敌方单位造成&lt;color=#C68334&gt;%1%&lt;/color&gt;攻击力的伤害，每命中一个单位获取10点生命能量。</t>
    <phoneticPr fontId="14" type="noConversion"/>
  </si>
  <si>
    <t>衰老之梦移动速度提升，获得霸体状态，持续10秒，期间碰到敌人造成&lt;color=#C68334&gt;%1%&lt;/color&gt;攻击力的伤害，获取10点生命能量。</t>
    <phoneticPr fontId="14" type="noConversion"/>
  </si>
  <si>
    <t>衰老之梦消耗所有生命能量，释放一个【衰老领域】，每秒对周围5m范围内敌人造成&lt;color=#C68334&gt;%1%&lt;/color&gt;攻击力的伤害，有15%概率偷取领域内敌人2%攻击力。生命能量越多，释放的【衰老领域】持续时间越长。</t>
    <phoneticPr fontId="14" type="noConversion"/>
  </si>
  <si>
    <t>1</t>
    <phoneticPr fontId="0" type="noConversion"/>
  </si>
  <si>
    <t>15</t>
    <phoneticPr fontId="0" type="noConversion"/>
  </si>
  <si>
    <t>17,30</t>
    <phoneticPr fontId="0" type="noConversion"/>
  </si>
  <si>
    <t>1</t>
    <phoneticPr fontId="0" type="noConversion"/>
  </si>
  <si>
    <t>挥砍</t>
    <phoneticPr fontId="0" type="noConversion"/>
  </si>
  <si>
    <t>第三章小A队长</t>
    <phoneticPr fontId="0" type="noConversion"/>
  </si>
  <si>
    <t>第三章小A小怪</t>
    <phoneticPr fontId="0" type="noConversion"/>
  </si>
  <si>
    <t>队长技能</t>
    <phoneticPr fontId="0" type="noConversion"/>
  </si>
  <si>
    <t>小怪技能</t>
    <phoneticPr fontId="0" type="noConversion"/>
  </si>
  <si>
    <t>6</t>
    <phoneticPr fontId="0" type="noConversion"/>
  </si>
  <si>
    <t>旋风斩</t>
    <phoneticPr fontId="0" type="noConversion"/>
  </si>
  <si>
    <t>突进旋风斩</t>
    <phoneticPr fontId="0" type="noConversion"/>
  </si>
  <si>
    <t>6</t>
    <phoneticPr fontId="0" type="noConversion"/>
  </si>
  <si>
    <t>1</t>
    <phoneticPr fontId="0" type="noConversion"/>
  </si>
  <si>
    <t>GetDamage(204002)/100</t>
    <phoneticPr fontId="14" type="noConversion"/>
  </si>
  <si>
    <t>每道射线伤害</t>
    <phoneticPr fontId="14" type="noConversion"/>
  </si>
  <si>
    <t>GetDamage(204003)/100</t>
    <phoneticPr fontId="14" type="noConversion"/>
  </si>
  <si>
    <t>下砸范围伤害</t>
    <phoneticPr fontId="14" type="noConversion"/>
  </si>
  <si>
    <t>生存技</t>
    <phoneticPr fontId="0" type="noConversion"/>
  </si>
  <si>
    <t>2</t>
    <phoneticPr fontId="0" type="noConversion"/>
  </si>
  <si>
    <t>解答-普攻</t>
    <phoneticPr fontId="14" type="noConversion"/>
  </si>
  <si>
    <t>普攻</t>
    <phoneticPr fontId="14" type="noConversion"/>
  </si>
  <si>
    <t>解答之梦连续发射3道射线攻击敌人。普攻被强化时，改为射出3道强化射线。</t>
    <phoneticPr fontId="14" type="noConversion"/>
  </si>
  <si>
    <t>解答之梦连续发射3道射线攻击敌人，每道射线造成&lt;color=#C68334&gt;%1%&lt;/color&gt;攻击力的射线伤害。普攻被强化时，改为射出3道强化射线，每道强化射线造成&lt;color=#C68334&gt;%2%&lt;/color&gt;攻击力的射线伤害。</t>
    <phoneticPr fontId="14" type="noConversion"/>
  </si>
  <si>
    <t>GetDamage(204001)/100</t>
    <phoneticPr fontId="14" type="noConversion"/>
  </si>
  <si>
    <t>每道强化射线伤害</t>
    <phoneticPr fontId="14" type="noConversion"/>
  </si>
  <si>
    <t>6,2040</t>
    <phoneticPr fontId="0" type="noConversion"/>
  </si>
  <si>
    <t>解答-生存技</t>
    <phoneticPr fontId="0" type="noConversion"/>
  </si>
  <si>
    <t>解答之梦在原地留下一顶【帽子】，并朝当前方向瞬移一段距离并造成范围伤害。3秒内再次释放该技能，解答之梦会回到【帽子】所在的位置。释放该技能后，强化下一次普攻。</t>
    <phoneticPr fontId="14" type="noConversion"/>
  </si>
  <si>
    <t>解答之梦在原地留下一顶【帽子】，并朝当前方向瞬移一段距离并造成&lt;color=#C68334&gt;%1%&lt;/color&gt;攻击力的范围近战伤害。3秒内再次释放该技能，解答之梦会回到【帽子】所在的位置。释放该技能后，强化下一次普攻。</t>
    <phoneticPr fontId="14" type="noConversion"/>
  </si>
  <si>
    <t>GetDamage(204005)/100</t>
    <phoneticPr fontId="14" type="noConversion"/>
  </si>
  <si>
    <t>范围伤害</t>
    <phoneticPr fontId="14" type="noConversion"/>
  </si>
  <si>
    <t>1</t>
    <phoneticPr fontId="0" type="noConversion"/>
  </si>
  <si>
    <t>解答-主动技</t>
    <phoneticPr fontId="0" type="noConversion"/>
  </si>
  <si>
    <t>主动技</t>
    <phoneticPr fontId="0" type="noConversion"/>
  </si>
  <si>
    <t>解答之梦在目标位置砸下一颗【激光骰子】造成范围伤害。【激光骰子】定期发射射线攻击周围敌人。释放该技能后，强化下一次普攻。</t>
    <phoneticPr fontId="14" type="noConversion"/>
  </si>
  <si>
    <t>解答之梦在目标位置砸下一颗【激光骰子】造成&lt;color=#C68334&gt;%1%&lt;/color&gt;攻击力的范围伤害。【激光骰子】会定期发射射线攻击周围敌人，造成&lt;color=#C68334&gt;%2%&lt;/color&gt;攻击力的射线伤害。释放该技能后，强化下一次普攻。</t>
    <phoneticPr fontId="14" type="noConversion"/>
  </si>
  <si>
    <t>GetDamage(204004)/100</t>
    <phoneticPr fontId="14" type="noConversion"/>
  </si>
  <si>
    <t>射线伤害</t>
    <phoneticPr fontId="14" type="noConversion"/>
  </si>
  <si>
    <t>8</t>
    <phoneticPr fontId="0" type="noConversion"/>
  </si>
  <si>
    <t>2</t>
    <phoneticPr fontId="0" type="noConversion"/>
  </si>
  <si>
    <t>3</t>
    <phoneticPr fontId="0" type="noConversion"/>
  </si>
  <si>
    <t>10</t>
    <phoneticPr fontId="0" type="noConversion"/>
  </si>
  <si>
    <t>1</t>
    <phoneticPr fontId="0" type="noConversion"/>
  </si>
  <si>
    <t>飞龙在天</t>
    <phoneticPr fontId="0" type="noConversion"/>
  </si>
  <si>
    <t>侠客大招测试</t>
    <phoneticPr fontId="0" type="noConversion"/>
  </si>
  <si>
    <t>0</t>
    <phoneticPr fontId="0" type="noConversion"/>
  </si>
  <si>
    <t>碎骨</t>
    <phoneticPr fontId="0" type="noConversion"/>
  </si>
  <si>
    <t>安息之梦-生存</t>
    <phoneticPr fontId="0" type="noConversion"/>
  </si>
  <si>
    <t>点按：安息之梦挥舞镰刀进行四段攻击。
安息之梦对敌人造成伤害或击败敌人可积累能量值。
长按：能量值满时长按普攻，可瞬移到敌人身后造成一次大范围攻击。</t>
    <phoneticPr fontId="0" type="noConversion"/>
  </si>
  <si>
    <t>点按：安息之梦挥舞镰刀进行四段攻击，分别造成&lt;color=#C68334&gt;%1%&lt;/color&gt;、&lt;color=#C68334&gt;%2%&lt;/color&gt;、&lt;color=#C68334&gt;%3%&lt;/color&gt;和&lt;color=#C68334&gt;%4%&lt;/color&gt;攻击力伤害。
安息之梦的攻击可以积累能量值，击败敌人时可以额外积累能量值。
长按：能量值满时，长按普攻可瞬移到敌人身后进行一次大范围攻击，造成&lt;color=#C68334&gt;%4%&lt;/color&gt;攻击力伤害。</t>
    <phoneticPr fontId="0" type="noConversion"/>
  </si>
  <si>
    <t>存亡瞬息</t>
    <phoneticPr fontId="0" type="noConversion"/>
  </si>
  <si>
    <t>安息之梦快速进行闪避，闪避期间为【无敌】状态，闪避期间使用普攻，可释放闪避斩击。
若闪避过程中受到敌方攻击，可触发反击造成大量伤害。</t>
    <phoneticPr fontId="0" type="noConversion"/>
  </si>
  <si>
    <t>安息之梦快速进行闪避，闪避期间为【无敌】状态。
闪避期间使用普攻，可释放闪避斩击造成&lt;color=#C68334&gt;%1%&lt;/color&gt;攻击力伤害。
若闪避过程中受到敌方攻击，可触发反击瞬移到敌方身后进行两段上挑攻击造成 &lt;color=#C68334&gt;%4%&lt;/color&gt;攻击力伤害。</t>
    <phoneticPr fontId="0" type="noConversion"/>
  </si>
  <si>
    <t>致命收割</t>
    <phoneticPr fontId="0" type="noConversion"/>
  </si>
  <si>
    <t>安息之梦召唤法阵对范围内敌人进行标记，被标记的敌人背后出现【安魂幻影】，将在延迟一小段时间后造成伤害。</t>
    <phoneticPr fontId="0" type="noConversion"/>
  </si>
  <si>
    <t>安息之梦召唤法阵对范围内敌人进行标记，被标记的敌人背后出现【安魂幻影】，延迟1s后造成&lt;color=#C68334&gt;%1%&lt;/color&gt;攻击力伤害，并有&lt;color=#C68334&gt;%2%&lt;/color&gt;概率将生命值低于&lt;color=#C68334&gt;%2%&lt;/color&gt;的敌人直接击败。</t>
    <phoneticPr fontId="0" type="noConversion"/>
  </si>
  <si>
    <t>钻石炮伤害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</si>
</sst>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C506CA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color rgb="FFCC00CC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39939573351237523"/>
        <bgColor indexed="64"/>
      </patternFill>
    </fill>
    <fill>
      <patternFill patternType="solid">
        <fgColor theme="8" tint="0.39936521500289923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43235572374649"/>
        <bgColor indexed="64"/>
      </patternFill>
    </fill>
    <fill>
      <patternFill patternType="solid">
        <fgColor theme="9" tint="0.79943235572374649"/>
        <bgColor indexed="64"/>
      </patternFill>
    </fill>
    <fill>
      <patternFill patternType="solid">
        <fgColor theme="8" tint="0.399304177983947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33469649342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theme="9" tint="0.7994628742332224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  <diagonal/>
    </border>
  </borders>
  <cellStyleXfs count="1">
    <xf numFmtId="0" fontId="0" fillId="0" borderId="0"/>
  </cellStyleXfs>
  <cellXfs count="14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255"/>
    </xf>
    <xf numFmtId="0" fontId="1" fillId="4" borderId="1" xfId="0" applyFont="1" applyFill="1" applyBorder="1" applyAlignment="1">
      <alignment horizontal="center" vertical="center" textRotation="255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/>
    </xf>
    <xf numFmtId="49" fontId="5" fillId="8" borderId="6" xfId="0" applyNumberFormat="1" applyFont="1" applyFill="1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5" fillId="8" borderId="0" xfId="0" applyNumberFormat="1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center" vertical="center"/>
    </xf>
    <xf numFmtId="49" fontId="5" fillId="1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center" vertical="center" wrapText="1"/>
    </xf>
    <xf numFmtId="49" fontId="5" fillId="13" borderId="0" xfId="0" applyNumberFormat="1" applyFont="1" applyFill="1" applyAlignment="1">
      <alignment horizontal="center" vertical="center"/>
    </xf>
    <xf numFmtId="49" fontId="5" fillId="14" borderId="6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15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49" fontId="4" fillId="16" borderId="5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16" borderId="1" xfId="0" applyNumberFormat="1" applyFont="1" applyFill="1" applyBorder="1" applyAlignment="1">
      <alignment horizontal="center" vertical="center" textRotation="255"/>
    </xf>
    <xf numFmtId="49" fontId="4" fillId="6" borderId="1" xfId="0" applyNumberFormat="1" applyFont="1" applyFill="1" applyBorder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4" fillId="16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0" fontId="5" fillId="13" borderId="0" xfId="0" applyFont="1" applyFill="1" applyAlignment="1">
      <alignment horizontal="center" vertical="center"/>
    </xf>
    <xf numFmtId="49" fontId="5" fillId="13" borderId="0" xfId="0" applyNumberFormat="1" applyFont="1" applyFill="1" applyAlignment="1">
      <alignment horizontal="center" vertical="center" wrapText="1"/>
    </xf>
    <xf numFmtId="49" fontId="7" fillId="13" borderId="0" xfId="0" applyNumberFormat="1" applyFont="1" applyFill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textRotation="255"/>
    </xf>
    <xf numFmtId="49" fontId="4" fillId="3" borderId="1" xfId="0" applyNumberFormat="1" applyFont="1" applyFill="1" applyBorder="1" applyAlignment="1">
      <alignment horizontal="center" vertical="center"/>
    </xf>
    <xf numFmtId="0" fontId="6" fillId="13" borderId="0" xfId="0" applyFont="1" applyFill="1"/>
    <xf numFmtId="0" fontId="2" fillId="13" borderId="0" xfId="0" applyFont="1" applyFill="1"/>
    <xf numFmtId="49" fontId="4" fillId="0" borderId="1" xfId="0" applyNumberFormat="1" applyFont="1" applyBorder="1" applyAlignment="1">
      <alignment horizontal="center" vertical="top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49" fontId="5" fillId="8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8" borderId="6" xfId="0" applyFont="1" applyFill="1" applyBorder="1"/>
    <xf numFmtId="0" fontId="5" fillId="8" borderId="6" xfId="0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5" fillId="14" borderId="6" xfId="0" applyFont="1" applyFill="1" applyBorder="1" applyAlignment="1">
      <alignment horizontal="center" vertical="center"/>
    </xf>
    <xf numFmtId="49" fontId="5" fillId="14" borderId="6" xfId="0" applyNumberFormat="1" applyFont="1" applyFill="1" applyBorder="1" applyAlignment="1">
      <alignment horizontal="center" vertical="center" wrapText="1"/>
    </xf>
    <xf numFmtId="0" fontId="6" fillId="14" borderId="6" xfId="0" applyFont="1" applyFill="1" applyBorder="1"/>
    <xf numFmtId="0" fontId="5" fillId="5" borderId="6" xfId="0" applyFont="1" applyFill="1" applyBorder="1" applyAlignment="1">
      <alignment horizontal="center" vertical="center"/>
    </xf>
    <xf numFmtId="49" fontId="5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/>
    <xf numFmtId="0" fontId="5" fillId="5" borderId="0" xfId="0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/>
    <xf numFmtId="0" fontId="5" fillId="17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 wrapText="1"/>
    </xf>
    <xf numFmtId="0" fontId="6" fillId="9" borderId="6" xfId="0" applyFont="1" applyFill="1" applyBorder="1"/>
    <xf numFmtId="0" fontId="5" fillId="10" borderId="6" xfId="0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 wrapText="1"/>
    </xf>
    <xf numFmtId="0" fontId="6" fillId="10" borderId="6" xfId="0" applyFont="1" applyFill="1" applyBorder="1"/>
    <xf numFmtId="0" fontId="6" fillId="18" borderId="6" xfId="0" applyFont="1" applyFill="1" applyBorder="1"/>
    <xf numFmtId="0" fontId="6" fillId="19" borderId="6" xfId="0" applyFont="1" applyFill="1" applyBorder="1"/>
    <xf numFmtId="0" fontId="2" fillId="0" borderId="6" xfId="0" applyFont="1" applyBorder="1"/>
    <xf numFmtId="0" fontId="2" fillId="14" borderId="6" xfId="0" applyFont="1" applyFill="1" applyBorder="1"/>
    <xf numFmtId="0" fontId="2" fillId="5" borderId="6" xfId="0" applyFont="1" applyFill="1" applyBorder="1"/>
    <xf numFmtId="0" fontId="2" fillId="5" borderId="0" xfId="0" applyFont="1" applyFill="1"/>
    <xf numFmtId="0" fontId="2" fillId="18" borderId="6" xfId="0" applyFont="1" applyFill="1" applyBorder="1"/>
    <xf numFmtId="0" fontId="2" fillId="19" borderId="6" xfId="0" applyFont="1" applyFill="1" applyBorder="1"/>
    <xf numFmtId="49" fontId="5" fillId="14" borderId="0" xfId="0" applyNumberFormat="1" applyFont="1" applyFill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49" fontId="5" fillId="15" borderId="6" xfId="0" applyNumberFormat="1" applyFont="1" applyFill="1" applyBorder="1" applyAlignment="1">
      <alignment horizontal="center" vertical="center" wrapText="1"/>
    </xf>
    <xf numFmtId="0" fontId="6" fillId="15" borderId="6" xfId="0" applyFont="1" applyFill="1" applyBorder="1"/>
    <xf numFmtId="49" fontId="5" fillId="8" borderId="6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2" fillId="15" borderId="6" xfId="0" applyFont="1" applyFill="1" applyBorder="1"/>
    <xf numFmtId="49" fontId="5" fillId="15" borderId="0" xfId="0" applyNumberFormat="1" applyFont="1" applyFill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vertical="center" wrapText="1"/>
    </xf>
    <xf numFmtId="3" fontId="5" fillId="0" borderId="0" xfId="0" quotePrefix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5" fillId="20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49" fontId="5" fillId="20" borderId="0" xfId="0" applyNumberFormat="1" applyFont="1" applyFill="1" applyAlignment="1">
      <alignment horizontal="center" vertical="center" wrapText="1"/>
    </xf>
    <xf numFmtId="0" fontId="6" fillId="20" borderId="0" xfId="0" applyFont="1" applyFill="1"/>
    <xf numFmtId="0" fontId="2" fillId="20" borderId="0" xfId="0" applyFont="1" applyFill="1"/>
    <xf numFmtId="0" fontId="5" fillId="21" borderId="0" xfId="0" applyFont="1" applyFill="1" applyAlignment="1">
      <alignment horizontal="center" vertical="center"/>
    </xf>
    <xf numFmtId="49" fontId="5" fillId="21" borderId="0" xfId="0" applyNumberFormat="1" applyFont="1" applyFill="1" applyAlignment="1">
      <alignment horizontal="center" vertical="center" wrapText="1"/>
    </xf>
    <xf numFmtId="49" fontId="5" fillId="21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49" fontId="5" fillId="21" borderId="1" xfId="0" applyNumberFormat="1" applyFont="1" applyFill="1" applyBorder="1" applyAlignment="1">
      <alignment horizontal="center" vertical="center" wrapText="1"/>
    </xf>
    <xf numFmtId="49" fontId="7" fillId="21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79"/>
  <sheetViews>
    <sheetView tabSelected="1" workbookViewId="0">
      <pane xSplit="6" ySplit="4" topLeftCell="G97" activePane="bottomRight" state="frozenSplit"/>
      <selection pane="topRight"/>
      <selection pane="bottomLeft"/>
      <selection pane="bottomRight" activeCell="Q100" sqref="Q100"/>
    </sheetView>
  </sheetViews>
  <sheetFormatPr defaultColWidth="9" defaultRowHeight="17.25" x14ac:dyDescent="0.35"/>
  <cols>
    <col min="1" max="1" width="12.875" style="29" customWidth="1"/>
    <col min="2" max="2" width="13" style="45" customWidth="1"/>
    <col min="3" max="3" width="19.375" style="29" customWidth="1"/>
    <col min="4" max="4" width="20.875" style="29" customWidth="1"/>
    <col min="5" max="5" width="20.875" style="46" customWidth="1"/>
    <col min="6" max="6" width="38" style="47" customWidth="1"/>
    <col min="7" max="10" width="18.875" style="48" customWidth="1"/>
    <col min="11" max="14" width="9" style="48" customWidth="1"/>
    <col min="15" max="16" width="13" style="48" customWidth="1"/>
    <col min="17" max="18" width="15.125" style="48" customWidth="1"/>
    <col min="19" max="22" width="9" style="47" customWidth="1"/>
    <col min="23" max="23" width="25.25" style="47" customWidth="1"/>
    <col min="24" max="24" width="18.125" style="29" customWidth="1"/>
    <col min="25" max="25" width="10.25" style="29" customWidth="1"/>
    <col min="26" max="26" width="16.875" style="29" customWidth="1"/>
    <col min="27" max="27" width="17" style="45" customWidth="1"/>
    <col min="28" max="28" width="16.875" style="29" customWidth="1"/>
    <col min="29" max="30" width="17.5" style="29" customWidth="1"/>
    <col min="31" max="31" width="20" style="29" customWidth="1"/>
    <col min="32" max="32" width="13.5" style="29" customWidth="1"/>
    <col min="33" max="33" width="16.25" style="29" customWidth="1"/>
    <col min="34" max="36" width="13.5" style="29" customWidth="1"/>
    <col min="37" max="38" width="16.875" style="29" customWidth="1"/>
    <col min="39" max="40" width="15.75" style="29" customWidth="1"/>
    <col min="41" max="41" width="14.625" style="46" customWidth="1"/>
    <col min="42" max="42" width="17" style="45" customWidth="1"/>
    <col min="43" max="43" width="8.875" style="29" customWidth="1"/>
    <col min="44" max="44" width="14.25" style="29" customWidth="1"/>
    <col min="45" max="45" width="19.375" style="29" customWidth="1"/>
    <col min="46" max="46" width="36" style="29" customWidth="1"/>
    <col min="47" max="47" width="25.75" style="29" customWidth="1"/>
    <col min="48" max="60" width="9" style="29" customWidth="1"/>
    <col min="61" max="16384" width="9" style="29"/>
  </cols>
  <sheetData>
    <row r="1" spans="1:47" s="39" customFormat="1" ht="49.5" x14ac:dyDescent="0.2">
      <c r="A1" s="49" t="s">
        <v>0</v>
      </c>
      <c r="B1" s="50" t="s">
        <v>39</v>
      </c>
      <c r="C1" s="49" t="s">
        <v>40</v>
      </c>
      <c r="D1" s="49" t="s">
        <v>2</v>
      </c>
      <c r="E1" s="51" t="s">
        <v>42</v>
      </c>
      <c r="F1" s="16" t="s">
        <v>43</v>
      </c>
      <c r="G1" s="52" t="s">
        <v>4</v>
      </c>
      <c r="H1" s="52" t="s">
        <v>5</v>
      </c>
      <c r="I1" s="52" t="s">
        <v>6</v>
      </c>
      <c r="J1" s="52" t="s">
        <v>92</v>
      </c>
      <c r="K1" s="52" t="s">
        <v>93</v>
      </c>
      <c r="L1" s="52" t="s">
        <v>94</v>
      </c>
      <c r="M1" s="52" t="s">
        <v>95</v>
      </c>
      <c r="N1" s="52" t="s">
        <v>96</v>
      </c>
      <c r="O1" s="66" t="s">
        <v>97</v>
      </c>
      <c r="P1" s="66" t="s">
        <v>98</v>
      </c>
      <c r="Q1" s="66" t="s">
        <v>99</v>
      </c>
      <c r="R1" s="66" t="s">
        <v>100</v>
      </c>
      <c r="S1" s="66" t="s">
        <v>101</v>
      </c>
      <c r="T1" s="66" t="s">
        <v>102</v>
      </c>
      <c r="U1" s="66" t="s">
        <v>103</v>
      </c>
      <c r="V1" s="66" t="s">
        <v>104</v>
      </c>
      <c r="W1" s="15" t="s">
        <v>44</v>
      </c>
      <c r="X1" s="49" t="s">
        <v>47</v>
      </c>
      <c r="Y1" s="49" t="s">
        <v>48</v>
      </c>
      <c r="Z1" s="39" t="s">
        <v>105</v>
      </c>
      <c r="AA1" s="50" t="s">
        <v>46</v>
      </c>
      <c r="AB1" s="39" t="s">
        <v>106</v>
      </c>
      <c r="AC1" s="49" t="s">
        <v>107</v>
      </c>
      <c r="AD1" s="49" t="s">
        <v>108</v>
      </c>
      <c r="AE1" s="49" t="s">
        <v>109</v>
      </c>
      <c r="AF1" s="49" t="s">
        <v>110</v>
      </c>
      <c r="AG1" s="49" t="s">
        <v>111</v>
      </c>
      <c r="AH1" s="49" t="s">
        <v>112</v>
      </c>
      <c r="AI1" s="49" t="s">
        <v>113</v>
      </c>
      <c r="AJ1" s="49" t="s">
        <v>114</v>
      </c>
      <c r="AK1" s="49" t="s">
        <v>115</v>
      </c>
      <c r="AL1" s="49" t="s">
        <v>116</v>
      </c>
      <c r="AM1" s="49" t="s">
        <v>117</v>
      </c>
      <c r="AN1" s="49" t="s">
        <v>118</v>
      </c>
      <c r="AO1" s="49" t="s">
        <v>119</v>
      </c>
      <c r="AP1" s="50" t="s">
        <v>120</v>
      </c>
      <c r="AQ1" s="50" t="s">
        <v>121</v>
      </c>
      <c r="AR1" s="39" t="s">
        <v>122</v>
      </c>
      <c r="AS1" s="39" t="s">
        <v>123</v>
      </c>
      <c r="AT1" s="39" t="s">
        <v>124</v>
      </c>
      <c r="AU1" s="39" t="s">
        <v>125</v>
      </c>
    </row>
    <row r="2" spans="1:47" s="39" customFormat="1" ht="84" x14ac:dyDescent="0.2">
      <c r="A2" s="49" t="s">
        <v>7</v>
      </c>
      <c r="B2" s="50" t="s">
        <v>49</v>
      </c>
      <c r="C2" s="49" t="s">
        <v>50</v>
      </c>
      <c r="D2" s="49" t="s">
        <v>24</v>
      </c>
      <c r="E2" s="18" t="s">
        <v>52</v>
      </c>
      <c r="F2" s="53" t="s">
        <v>126</v>
      </c>
      <c r="G2" s="54" t="s">
        <v>127</v>
      </c>
      <c r="H2" s="54" t="s">
        <v>128</v>
      </c>
      <c r="I2" s="54" t="s">
        <v>129</v>
      </c>
      <c r="J2" s="54" t="s">
        <v>130</v>
      </c>
      <c r="K2" s="54" t="s">
        <v>131</v>
      </c>
      <c r="L2" s="54" t="s">
        <v>132</v>
      </c>
      <c r="M2" s="54" t="s">
        <v>133</v>
      </c>
      <c r="N2" s="54" t="s">
        <v>134</v>
      </c>
      <c r="O2" s="67" t="s">
        <v>127</v>
      </c>
      <c r="P2" s="67" t="s">
        <v>128</v>
      </c>
      <c r="Q2" s="67" t="s">
        <v>129</v>
      </c>
      <c r="R2" s="67" t="s">
        <v>130</v>
      </c>
      <c r="S2" s="67" t="s">
        <v>131</v>
      </c>
      <c r="T2" s="67" t="s">
        <v>132</v>
      </c>
      <c r="U2" s="67" t="s">
        <v>133</v>
      </c>
      <c r="V2" s="67" t="s">
        <v>134</v>
      </c>
      <c r="W2" s="15" t="s">
        <v>53</v>
      </c>
      <c r="X2" s="49" t="s">
        <v>56</v>
      </c>
      <c r="Y2" s="49" t="s">
        <v>57</v>
      </c>
      <c r="Z2" s="50" t="s">
        <v>135</v>
      </c>
      <c r="AA2" s="50" t="s">
        <v>55</v>
      </c>
      <c r="AB2" s="50" t="s">
        <v>136</v>
      </c>
      <c r="AC2" s="49" t="s">
        <v>137</v>
      </c>
      <c r="AD2" s="49" t="s">
        <v>138</v>
      </c>
      <c r="AE2" s="49" t="s">
        <v>139</v>
      </c>
      <c r="AF2" s="49" t="s">
        <v>110</v>
      </c>
      <c r="AG2" s="49" t="s">
        <v>140</v>
      </c>
      <c r="AH2" s="49" t="s">
        <v>141</v>
      </c>
      <c r="AI2" s="49" t="s">
        <v>142</v>
      </c>
      <c r="AJ2" s="49" t="s">
        <v>143</v>
      </c>
      <c r="AK2" s="49" t="s">
        <v>144</v>
      </c>
      <c r="AL2" s="49" t="s">
        <v>145</v>
      </c>
      <c r="AM2" s="49" t="s">
        <v>146</v>
      </c>
      <c r="AN2" s="49" t="s">
        <v>147</v>
      </c>
      <c r="AO2" s="49" t="s">
        <v>148</v>
      </c>
      <c r="AP2" s="50" t="s">
        <v>149</v>
      </c>
      <c r="AQ2" s="50" t="s">
        <v>150</v>
      </c>
      <c r="AR2" s="39" t="s">
        <v>151</v>
      </c>
      <c r="AS2" s="39" t="s">
        <v>152</v>
      </c>
      <c r="AT2" s="39" t="s">
        <v>153</v>
      </c>
      <c r="AU2" s="39" t="s">
        <v>154</v>
      </c>
    </row>
    <row r="3" spans="1:47" s="39" customFormat="1" ht="148.5" x14ac:dyDescent="0.2">
      <c r="A3" s="49" t="s">
        <v>13</v>
      </c>
      <c r="B3" s="50"/>
      <c r="C3" s="49" t="s">
        <v>58</v>
      </c>
      <c r="D3" s="49" t="s">
        <v>155</v>
      </c>
      <c r="E3" s="18" t="s">
        <v>60</v>
      </c>
      <c r="F3" s="55" t="s">
        <v>156</v>
      </c>
      <c r="G3" s="56"/>
      <c r="H3" s="56"/>
      <c r="I3" s="56"/>
      <c r="J3" s="56"/>
      <c r="K3" s="56"/>
      <c r="L3" s="56"/>
      <c r="M3" s="56"/>
      <c r="N3" s="56"/>
      <c r="O3" s="68"/>
      <c r="P3" s="68"/>
      <c r="Q3" s="68"/>
      <c r="R3" s="68"/>
      <c r="S3" s="68"/>
      <c r="T3" s="68"/>
      <c r="U3" s="68"/>
      <c r="V3" s="68"/>
      <c r="W3" s="15" t="s">
        <v>62</v>
      </c>
      <c r="X3" s="49" t="s">
        <v>64</v>
      </c>
      <c r="Y3" s="49" t="s">
        <v>157</v>
      </c>
      <c r="Z3" s="50" t="s">
        <v>158</v>
      </c>
      <c r="AA3" s="50" t="s">
        <v>159</v>
      </c>
      <c r="AB3" s="50" t="s">
        <v>160</v>
      </c>
      <c r="AC3" s="49" t="s">
        <v>161</v>
      </c>
      <c r="AD3" s="49" t="s">
        <v>162</v>
      </c>
      <c r="AE3" s="71" t="s">
        <v>163</v>
      </c>
      <c r="AF3" s="49" t="s">
        <v>164</v>
      </c>
      <c r="AG3" s="49" t="s">
        <v>165</v>
      </c>
      <c r="AH3" s="49" t="s">
        <v>166</v>
      </c>
      <c r="AI3" s="49" t="s">
        <v>142</v>
      </c>
      <c r="AJ3" s="49" t="s">
        <v>167</v>
      </c>
      <c r="AK3" s="49" t="s">
        <v>168</v>
      </c>
      <c r="AL3" s="49" t="s">
        <v>169</v>
      </c>
      <c r="AM3" s="49" t="s">
        <v>170</v>
      </c>
      <c r="AN3" s="49" t="s">
        <v>171</v>
      </c>
      <c r="AO3" s="49" t="s">
        <v>172</v>
      </c>
      <c r="AP3" s="50" t="s">
        <v>173</v>
      </c>
      <c r="AQ3" s="50" t="s">
        <v>174</v>
      </c>
      <c r="AR3" s="39" t="s">
        <v>175</v>
      </c>
      <c r="AS3" s="39" t="s">
        <v>176</v>
      </c>
      <c r="AT3" s="39" t="s">
        <v>177</v>
      </c>
      <c r="AU3" s="39" t="s">
        <v>178</v>
      </c>
    </row>
    <row r="4" spans="1:47" s="39" customFormat="1" ht="33" x14ac:dyDescent="0.2">
      <c r="A4" s="49" t="s">
        <v>15</v>
      </c>
      <c r="B4" s="50" t="s">
        <v>16</v>
      </c>
      <c r="C4" s="49" t="s">
        <v>66</v>
      </c>
      <c r="D4" s="49" t="s">
        <v>66</v>
      </c>
      <c r="E4" s="18" t="s">
        <v>66</v>
      </c>
      <c r="F4" s="53" t="s">
        <v>66</v>
      </c>
      <c r="G4" s="56" t="s">
        <v>66</v>
      </c>
      <c r="H4" s="56" t="s">
        <v>66</v>
      </c>
      <c r="I4" s="56" t="s">
        <v>66</v>
      </c>
      <c r="J4" s="56" t="s">
        <v>66</v>
      </c>
      <c r="K4" s="56" t="s">
        <v>66</v>
      </c>
      <c r="L4" s="56" t="s">
        <v>66</v>
      </c>
      <c r="M4" s="56" t="s">
        <v>66</v>
      </c>
      <c r="N4" s="56" t="s">
        <v>66</v>
      </c>
      <c r="O4" s="68" t="s">
        <v>66</v>
      </c>
      <c r="P4" s="68" t="s">
        <v>66</v>
      </c>
      <c r="Q4" s="68" t="s">
        <v>66</v>
      </c>
      <c r="R4" s="68" t="s">
        <v>66</v>
      </c>
      <c r="S4" s="68" t="s">
        <v>66</v>
      </c>
      <c r="T4" s="68" t="s">
        <v>66</v>
      </c>
      <c r="U4" s="68" t="s">
        <v>66</v>
      </c>
      <c r="V4" s="68" t="s">
        <v>66</v>
      </c>
      <c r="W4" s="15" t="s">
        <v>66</v>
      </c>
      <c r="X4" s="49" t="s">
        <v>66</v>
      </c>
      <c r="Y4" s="49" t="s">
        <v>16</v>
      </c>
      <c r="Z4" s="49" t="s">
        <v>179</v>
      </c>
      <c r="AA4" s="50" t="s">
        <v>16</v>
      </c>
      <c r="AB4" s="49" t="s">
        <v>16</v>
      </c>
      <c r="AC4" s="49" t="s">
        <v>180</v>
      </c>
      <c r="AD4" s="49" t="s">
        <v>179</v>
      </c>
      <c r="AE4" s="49" t="s">
        <v>16</v>
      </c>
      <c r="AF4" s="49" t="s">
        <v>179</v>
      </c>
      <c r="AG4" s="49" t="s">
        <v>181</v>
      </c>
      <c r="AH4" s="49" t="s">
        <v>16</v>
      </c>
      <c r="AI4" s="49" t="s">
        <v>179</v>
      </c>
      <c r="AJ4" s="49" t="s">
        <v>181</v>
      </c>
      <c r="AK4" s="49" t="s">
        <v>182</v>
      </c>
      <c r="AL4" s="49" t="s">
        <v>183</v>
      </c>
      <c r="AM4" s="49" t="s">
        <v>16</v>
      </c>
      <c r="AN4" s="49" t="s">
        <v>66</v>
      </c>
      <c r="AO4" s="49" t="s">
        <v>66</v>
      </c>
      <c r="AP4" s="49" t="s">
        <v>184</v>
      </c>
      <c r="AQ4" s="49" t="s">
        <v>184</v>
      </c>
      <c r="AR4" s="39" t="s">
        <v>184</v>
      </c>
      <c r="AS4" s="49" t="s">
        <v>16</v>
      </c>
      <c r="AT4" s="39" t="s">
        <v>66</v>
      </c>
    </row>
    <row r="5" spans="1:47" s="39" customFormat="1" ht="16.5" x14ac:dyDescent="0.2">
      <c r="A5" s="49" t="s">
        <v>18</v>
      </c>
      <c r="B5" s="50"/>
      <c r="C5" s="49"/>
      <c r="D5" s="49"/>
      <c r="X5" s="49"/>
      <c r="Y5" s="49"/>
      <c r="Z5" s="50"/>
      <c r="AA5" s="50"/>
      <c r="AB5" s="50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P5" s="50"/>
    </row>
    <row r="6" spans="1:47" x14ac:dyDescent="0.35">
      <c r="B6" s="45">
        <v>1002</v>
      </c>
      <c r="C6" s="46" t="s">
        <v>185</v>
      </c>
      <c r="D6" s="29" t="s">
        <v>186</v>
      </c>
      <c r="F6" s="46" t="s">
        <v>185</v>
      </c>
      <c r="G6" s="56"/>
      <c r="H6" s="56"/>
      <c r="I6" s="56"/>
      <c r="J6" s="56"/>
      <c r="O6" s="68"/>
      <c r="P6" s="68"/>
      <c r="Q6" s="68"/>
      <c r="R6" s="68"/>
      <c r="X6" s="45">
        <v>201101</v>
      </c>
      <c r="Y6" s="29" t="s">
        <v>19</v>
      </c>
      <c r="Z6" s="29" t="s">
        <v>19</v>
      </c>
      <c r="AA6" s="45">
        <v>1002</v>
      </c>
      <c r="AB6" s="29" t="s">
        <v>187</v>
      </c>
      <c r="AF6" s="29" t="s">
        <v>187</v>
      </c>
      <c r="AI6" s="29" t="s">
        <v>187</v>
      </c>
    </row>
    <row r="7" spans="1:47" x14ac:dyDescent="0.35">
      <c r="B7" s="45">
        <v>10021</v>
      </c>
      <c r="C7" s="46" t="s">
        <v>188</v>
      </c>
      <c r="D7" s="46" t="s">
        <v>188</v>
      </c>
      <c r="F7" s="46" t="s">
        <v>188</v>
      </c>
      <c r="G7" s="56"/>
      <c r="H7" s="56"/>
      <c r="I7" s="56"/>
      <c r="J7" s="56"/>
      <c r="O7" s="68"/>
      <c r="P7" s="68"/>
      <c r="Q7" s="68"/>
      <c r="R7" s="68"/>
      <c r="X7" s="45"/>
      <c r="Y7" s="29" t="s">
        <v>189</v>
      </c>
      <c r="AA7" s="45">
        <v>1002</v>
      </c>
      <c r="AB7" s="29" t="s">
        <v>187</v>
      </c>
      <c r="AF7" s="29" t="s">
        <v>187</v>
      </c>
      <c r="AI7" s="29" t="s">
        <v>187</v>
      </c>
    </row>
    <row r="8" spans="1:47" x14ac:dyDescent="0.35">
      <c r="B8" s="45">
        <v>10022</v>
      </c>
      <c r="C8" s="46" t="s">
        <v>190</v>
      </c>
      <c r="D8" s="46" t="s">
        <v>190</v>
      </c>
      <c r="F8" s="46" t="s">
        <v>190</v>
      </c>
      <c r="G8" s="56"/>
      <c r="H8" s="56"/>
      <c r="I8" s="56"/>
      <c r="J8" s="56"/>
      <c r="O8" s="68"/>
      <c r="P8" s="68"/>
      <c r="Q8" s="68"/>
      <c r="R8" s="68"/>
      <c r="X8" s="45"/>
      <c r="Y8" s="29" t="s">
        <v>189</v>
      </c>
      <c r="AA8" s="45">
        <v>1002</v>
      </c>
      <c r="AB8" s="29" t="s">
        <v>187</v>
      </c>
      <c r="AF8" s="29" t="s">
        <v>187</v>
      </c>
      <c r="AI8" s="29" t="s">
        <v>187</v>
      </c>
    </row>
    <row r="9" spans="1:47" x14ac:dyDescent="0.35">
      <c r="B9" s="45">
        <v>1050</v>
      </c>
      <c r="C9" s="46" t="s">
        <v>191</v>
      </c>
      <c r="D9" s="46" t="s">
        <v>191</v>
      </c>
      <c r="F9" s="46" t="s">
        <v>191</v>
      </c>
      <c r="G9" s="56"/>
      <c r="H9" s="56"/>
      <c r="I9" s="56"/>
      <c r="J9" s="56"/>
      <c r="O9" s="68"/>
      <c r="P9" s="68"/>
      <c r="Q9" s="68"/>
      <c r="R9" s="68"/>
      <c r="X9" s="45">
        <v>201101</v>
      </c>
      <c r="Y9" s="29" t="s">
        <v>19</v>
      </c>
      <c r="AA9" s="45">
        <v>1050</v>
      </c>
      <c r="AB9" s="29" t="s">
        <v>187</v>
      </c>
      <c r="AF9" s="29" t="s">
        <v>187</v>
      </c>
      <c r="AI9" s="29" t="s">
        <v>187</v>
      </c>
    </row>
    <row r="10" spans="1:47" ht="156.75" x14ac:dyDescent="0.35">
      <c r="B10" s="45" t="s">
        <v>192</v>
      </c>
      <c r="C10" s="46" t="s">
        <v>193</v>
      </c>
      <c r="D10" s="29" t="s">
        <v>194</v>
      </c>
      <c r="E10" s="46" t="s">
        <v>195</v>
      </c>
      <c r="F10" s="57" t="s">
        <v>196</v>
      </c>
      <c r="G10" s="58" t="s">
        <v>197</v>
      </c>
      <c r="H10" s="58" t="s">
        <v>198</v>
      </c>
      <c r="I10" s="56"/>
      <c r="J10" s="56"/>
      <c r="O10" s="68" t="s">
        <v>199</v>
      </c>
      <c r="P10" s="68" t="s">
        <v>200</v>
      </c>
      <c r="Q10" s="68"/>
      <c r="R10" s="68"/>
      <c r="W10" s="45" t="str">
        <f>"skillvideo/skillvideo_"&amp;B10&amp;".mp4"</f>
        <v>skillvideo/skillvideo_2001.mp4</v>
      </c>
      <c r="X10" s="45">
        <v>2001</v>
      </c>
      <c r="Y10" s="29" t="s">
        <v>19</v>
      </c>
      <c r="AA10" s="45" t="s">
        <v>192</v>
      </c>
      <c r="AB10" s="29" t="s">
        <v>187</v>
      </c>
      <c r="AC10" s="29" t="s">
        <v>201</v>
      </c>
      <c r="AR10" s="29" t="s">
        <v>202</v>
      </c>
    </row>
    <row r="11" spans="1:47" ht="82.5" x14ac:dyDescent="0.35">
      <c r="B11" s="45" t="s">
        <v>203</v>
      </c>
      <c r="C11" s="46" t="s">
        <v>204</v>
      </c>
      <c r="D11" s="29" t="s">
        <v>194</v>
      </c>
      <c r="E11" s="46" t="s">
        <v>205</v>
      </c>
      <c r="F11" s="57" t="s">
        <v>206</v>
      </c>
      <c r="G11" s="58" t="s">
        <v>207</v>
      </c>
      <c r="H11" s="56"/>
      <c r="I11" s="56"/>
      <c r="J11" s="56"/>
      <c r="O11" s="68" t="s">
        <v>208</v>
      </c>
      <c r="P11" s="68"/>
      <c r="Q11" s="68"/>
      <c r="R11" s="68"/>
      <c r="W11" s="45" t="str">
        <f>"skillvideo/skillvideo_"&amp;B11&amp;".mp4"</f>
        <v>skillvideo/skillvideo_200101.mp4</v>
      </c>
      <c r="X11" s="45" t="str">
        <f t="shared" ref="X11:X72" si="0">B11</f>
        <v>200101</v>
      </c>
      <c r="Y11" s="29" t="s">
        <v>32</v>
      </c>
      <c r="AA11" s="45" t="s">
        <v>192</v>
      </c>
      <c r="AB11" s="29" t="s">
        <v>187</v>
      </c>
      <c r="AF11" s="29" t="s">
        <v>19</v>
      </c>
      <c r="AG11" s="29" t="s">
        <v>19</v>
      </c>
      <c r="AH11" s="29" t="s">
        <v>19</v>
      </c>
      <c r="AI11" s="29" t="s">
        <v>209</v>
      </c>
      <c r="AP11" s="45" t="s">
        <v>210</v>
      </c>
      <c r="AQ11" s="29" t="s">
        <v>19</v>
      </c>
    </row>
    <row r="12" spans="1:47" ht="42.75" x14ac:dyDescent="0.35">
      <c r="B12" s="45" t="s">
        <v>211</v>
      </c>
      <c r="C12" s="46" t="s">
        <v>212</v>
      </c>
      <c r="D12" s="29" t="s">
        <v>194</v>
      </c>
      <c r="E12" s="46" t="s">
        <v>213</v>
      </c>
      <c r="F12" s="57" t="s">
        <v>214</v>
      </c>
      <c r="G12" s="58" t="s">
        <v>215</v>
      </c>
      <c r="H12" s="56"/>
      <c r="I12" s="56"/>
      <c r="J12" s="56"/>
      <c r="O12" s="68" t="s">
        <v>216</v>
      </c>
      <c r="P12" s="68"/>
      <c r="Q12" s="68"/>
      <c r="R12" s="68"/>
      <c r="W12" s="45" t="str">
        <f>"skillvideo/skillvideo_"&amp;B12&amp;".mp4"</f>
        <v>skillvideo/skillvideo_200102.mp4</v>
      </c>
      <c r="X12" s="45" t="str">
        <f t="shared" si="0"/>
        <v>200102</v>
      </c>
      <c r="Y12" s="29" t="s">
        <v>35</v>
      </c>
      <c r="AA12" s="45" t="s">
        <v>192</v>
      </c>
      <c r="AB12" s="29" t="s">
        <v>187</v>
      </c>
      <c r="AC12" s="29" t="s">
        <v>201</v>
      </c>
      <c r="AF12" s="29" t="s">
        <v>217</v>
      </c>
      <c r="AG12" s="29" t="s">
        <v>19</v>
      </c>
      <c r="AH12" s="29" t="s">
        <v>19</v>
      </c>
      <c r="AI12" s="29" t="s">
        <v>189</v>
      </c>
    </row>
    <row r="13" spans="1:47" x14ac:dyDescent="0.35">
      <c r="B13" s="45" t="s">
        <v>218</v>
      </c>
      <c r="C13" s="59" t="s">
        <v>219</v>
      </c>
      <c r="D13" s="29" t="s">
        <v>194</v>
      </c>
      <c r="F13" s="57"/>
      <c r="G13" s="56"/>
      <c r="H13" s="56"/>
      <c r="I13" s="56"/>
      <c r="J13" s="56"/>
      <c r="O13" s="68"/>
      <c r="P13" s="68"/>
      <c r="Q13" s="68"/>
      <c r="R13" s="68"/>
      <c r="X13" s="45" t="str">
        <f t="shared" si="0"/>
        <v>200103</v>
      </c>
      <c r="Y13" s="29" t="s">
        <v>220</v>
      </c>
      <c r="AA13" s="45" t="s">
        <v>192</v>
      </c>
      <c r="AB13" s="29" t="s">
        <v>187</v>
      </c>
      <c r="AK13" s="40" t="s">
        <v>221</v>
      </c>
    </row>
    <row r="14" spans="1:47" x14ac:dyDescent="0.35">
      <c r="B14" s="45" t="s">
        <v>222</v>
      </c>
      <c r="C14" s="46" t="s">
        <v>194</v>
      </c>
      <c r="D14" s="29" t="s">
        <v>194</v>
      </c>
      <c r="F14" s="57" t="s">
        <v>194</v>
      </c>
      <c r="G14" s="56"/>
      <c r="H14" s="56"/>
      <c r="I14" s="56"/>
      <c r="J14" s="56"/>
      <c r="O14" s="68"/>
      <c r="P14" s="68"/>
      <c r="Q14" s="68"/>
      <c r="R14" s="68"/>
      <c r="X14" s="45" t="str">
        <f t="shared" si="0"/>
        <v>2002</v>
      </c>
      <c r="Y14" s="29" t="s">
        <v>19</v>
      </c>
      <c r="AA14" s="45" t="s">
        <v>222</v>
      </c>
      <c r="AB14" s="29" t="s">
        <v>187</v>
      </c>
    </row>
    <row r="15" spans="1:47" x14ac:dyDescent="0.35">
      <c r="B15" s="45" t="s">
        <v>223</v>
      </c>
      <c r="C15" s="46" t="s">
        <v>194</v>
      </c>
      <c r="D15" s="29" t="s">
        <v>194</v>
      </c>
      <c r="F15" s="57" t="s">
        <v>194</v>
      </c>
      <c r="G15" s="56"/>
      <c r="H15" s="56"/>
      <c r="I15" s="56"/>
      <c r="J15" s="56"/>
      <c r="O15" s="68"/>
      <c r="P15" s="68"/>
      <c r="Q15" s="68"/>
      <c r="R15" s="68"/>
      <c r="X15" s="45" t="str">
        <f t="shared" si="0"/>
        <v>200201</v>
      </c>
      <c r="Y15" s="29" t="s">
        <v>32</v>
      </c>
      <c r="AA15" s="45" t="s">
        <v>222</v>
      </c>
      <c r="AB15" s="29" t="s">
        <v>187</v>
      </c>
      <c r="AG15" s="29" t="s">
        <v>19</v>
      </c>
      <c r="AH15" s="29" t="s">
        <v>35</v>
      </c>
      <c r="AI15" s="29" t="s">
        <v>189</v>
      </c>
    </row>
    <row r="16" spans="1:47" x14ac:dyDescent="0.35">
      <c r="B16" s="45" t="s">
        <v>224</v>
      </c>
      <c r="C16" s="46" t="s">
        <v>194</v>
      </c>
      <c r="D16" s="29" t="s">
        <v>194</v>
      </c>
      <c r="F16" s="57" t="s">
        <v>194</v>
      </c>
      <c r="G16" s="56"/>
      <c r="H16" s="56"/>
      <c r="I16" s="56"/>
      <c r="J16" s="56"/>
      <c r="O16" s="68"/>
      <c r="P16" s="68"/>
      <c r="Q16" s="68"/>
      <c r="R16" s="68"/>
      <c r="X16" s="45" t="str">
        <f t="shared" si="0"/>
        <v>200202</v>
      </c>
      <c r="Y16" s="29" t="s">
        <v>35</v>
      </c>
      <c r="AA16" s="45" t="s">
        <v>222</v>
      </c>
      <c r="AB16" s="29" t="s">
        <v>187</v>
      </c>
      <c r="AF16" s="29" t="s">
        <v>220</v>
      </c>
      <c r="AI16" s="29" t="s">
        <v>225</v>
      </c>
    </row>
    <row r="17" spans="2:44" x14ac:dyDescent="0.35">
      <c r="B17" s="45" t="s">
        <v>226</v>
      </c>
      <c r="C17" s="46" t="s">
        <v>194</v>
      </c>
      <c r="D17" s="29" t="s">
        <v>194</v>
      </c>
      <c r="F17" s="57" t="s">
        <v>194</v>
      </c>
      <c r="G17" s="56"/>
      <c r="H17" s="56"/>
      <c r="I17" s="56"/>
      <c r="J17" s="56"/>
      <c r="O17" s="68"/>
      <c r="P17" s="68"/>
      <c r="Q17" s="68"/>
      <c r="R17" s="68"/>
      <c r="X17" s="45" t="str">
        <f t="shared" si="0"/>
        <v>200203</v>
      </c>
      <c r="Y17" s="29" t="s">
        <v>220</v>
      </c>
      <c r="AA17" s="45" t="s">
        <v>222</v>
      </c>
      <c r="AB17" s="29" t="s">
        <v>187</v>
      </c>
    </row>
    <row r="18" spans="2:44" x14ac:dyDescent="0.35">
      <c r="B18" s="45" t="s">
        <v>227</v>
      </c>
      <c r="C18" s="46" t="s">
        <v>194</v>
      </c>
      <c r="D18" s="29" t="s">
        <v>194</v>
      </c>
      <c r="F18" s="57" t="s">
        <v>194</v>
      </c>
      <c r="G18" s="56"/>
      <c r="H18" s="56"/>
      <c r="I18" s="56"/>
      <c r="J18" s="56"/>
      <c r="O18" s="68"/>
      <c r="P18" s="68"/>
      <c r="Q18" s="68"/>
      <c r="R18" s="68"/>
      <c r="X18" s="45" t="str">
        <f t="shared" si="0"/>
        <v>2003</v>
      </c>
      <c r="Y18" s="29" t="s">
        <v>19</v>
      </c>
      <c r="AA18" s="45" t="s">
        <v>227</v>
      </c>
      <c r="AB18" s="29" t="s">
        <v>187</v>
      </c>
    </row>
    <row r="19" spans="2:44" x14ac:dyDescent="0.35">
      <c r="B19" s="45" t="s">
        <v>228</v>
      </c>
      <c r="C19" s="46" t="s">
        <v>194</v>
      </c>
      <c r="D19" s="29" t="s">
        <v>194</v>
      </c>
      <c r="F19" s="57" t="s">
        <v>194</v>
      </c>
      <c r="G19" s="56"/>
      <c r="H19" s="56"/>
      <c r="I19" s="56"/>
      <c r="J19" s="56"/>
      <c r="O19" s="68"/>
      <c r="P19" s="68"/>
      <c r="Q19" s="68"/>
      <c r="R19" s="68"/>
      <c r="X19" s="45" t="str">
        <f t="shared" si="0"/>
        <v>200301</v>
      </c>
      <c r="Y19" s="29" t="s">
        <v>32</v>
      </c>
      <c r="AA19" s="45" t="s">
        <v>227</v>
      </c>
      <c r="AB19" s="29" t="s">
        <v>187</v>
      </c>
      <c r="AG19" s="29" t="s">
        <v>19</v>
      </c>
      <c r="AH19" s="29" t="s">
        <v>35</v>
      </c>
      <c r="AI19" s="29" t="s">
        <v>189</v>
      </c>
    </row>
    <row r="20" spans="2:44" x14ac:dyDescent="0.35">
      <c r="B20" s="45" t="s">
        <v>229</v>
      </c>
      <c r="C20" s="46" t="s">
        <v>194</v>
      </c>
      <c r="D20" s="29" t="s">
        <v>194</v>
      </c>
      <c r="F20" s="57" t="s">
        <v>194</v>
      </c>
      <c r="G20" s="56"/>
      <c r="H20" s="56"/>
      <c r="I20" s="56"/>
      <c r="J20" s="56"/>
      <c r="O20" s="68"/>
      <c r="P20" s="68"/>
      <c r="Q20" s="68"/>
      <c r="R20" s="68"/>
      <c r="X20" s="45" t="str">
        <f t="shared" si="0"/>
        <v>200302</v>
      </c>
      <c r="Y20" s="29" t="s">
        <v>35</v>
      </c>
      <c r="AA20" s="45" t="s">
        <v>227</v>
      </c>
      <c r="AB20" s="29" t="s">
        <v>187</v>
      </c>
      <c r="AF20" s="29" t="s">
        <v>220</v>
      </c>
      <c r="AI20" s="29" t="s">
        <v>225</v>
      </c>
    </row>
    <row r="21" spans="2:44" x14ac:dyDescent="0.35">
      <c r="B21" s="45" t="s">
        <v>230</v>
      </c>
      <c r="C21" s="46" t="s">
        <v>194</v>
      </c>
      <c r="D21" s="29" t="s">
        <v>194</v>
      </c>
      <c r="F21" s="57" t="s">
        <v>194</v>
      </c>
      <c r="G21" s="56"/>
      <c r="H21" s="56"/>
      <c r="I21" s="56"/>
      <c r="J21" s="56"/>
      <c r="O21" s="68"/>
      <c r="P21" s="68"/>
      <c r="Q21" s="68"/>
      <c r="R21" s="68"/>
      <c r="X21" s="45" t="str">
        <f t="shared" si="0"/>
        <v>200303</v>
      </c>
      <c r="Y21" s="29" t="s">
        <v>220</v>
      </c>
      <c r="AA21" s="45" t="s">
        <v>227</v>
      </c>
      <c r="AB21" s="29" t="s">
        <v>187</v>
      </c>
    </row>
    <row r="22" spans="2:44" ht="85.5" x14ac:dyDescent="0.35">
      <c r="B22" s="45">
        <v>2004</v>
      </c>
      <c r="C22" s="46" t="s">
        <v>231</v>
      </c>
      <c r="D22" s="29" t="s">
        <v>194</v>
      </c>
      <c r="E22" s="46" t="s">
        <v>232</v>
      </c>
      <c r="F22" s="57" t="s">
        <v>233</v>
      </c>
      <c r="G22" s="58" t="s">
        <v>234</v>
      </c>
      <c r="H22" s="58" t="s">
        <v>235</v>
      </c>
      <c r="I22" s="58" t="s">
        <v>236</v>
      </c>
      <c r="J22" s="58" t="s">
        <v>237</v>
      </c>
      <c r="O22" s="68" t="s">
        <v>238</v>
      </c>
      <c r="P22" s="68" t="s">
        <v>239</v>
      </c>
      <c r="Q22" s="68" t="s">
        <v>240</v>
      </c>
      <c r="R22" s="68" t="s">
        <v>241</v>
      </c>
      <c r="W22" s="45" t="str">
        <f>"skillvideo/skillvideo_"&amp;B22&amp;".mp4"</f>
        <v>skillvideo/skillvideo_2004.mp4</v>
      </c>
      <c r="X22" s="45">
        <f t="shared" si="0"/>
        <v>2004</v>
      </c>
      <c r="Y22" s="29" t="s">
        <v>19</v>
      </c>
      <c r="AA22" s="45" t="s">
        <v>71</v>
      </c>
      <c r="AB22" s="29" t="s">
        <v>187</v>
      </c>
      <c r="AC22" s="29" t="s">
        <v>19</v>
      </c>
      <c r="AR22" s="29" t="s">
        <v>242</v>
      </c>
    </row>
    <row r="23" spans="2:44" ht="42.75" x14ac:dyDescent="0.35">
      <c r="B23" s="45" t="s">
        <v>243</v>
      </c>
      <c r="C23" s="46" t="s">
        <v>244</v>
      </c>
      <c r="D23" s="29" t="s">
        <v>194</v>
      </c>
      <c r="E23" s="46" t="s">
        <v>245</v>
      </c>
      <c r="F23" s="57" t="s">
        <v>246</v>
      </c>
      <c r="G23" s="58" t="s">
        <v>247</v>
      </c>
      <c r="H23" s="56"/>
      <c r="I23" s="56"/>
      <c r="J23" s="56"/>
      <c r="O23" s="68" t="s">
        <v>248</v>
      </c>
      <c r="P23" s="68"/>
      <c r="Q23" s="68"/>
      <c r="R23" s="68"/>
      <c r="W23" s="45" t="str">
        <f>"skillvideo/skillvideo_"&amp;B23&amp;".mp4"</f>
        <v>skillvideo/skillvideo_200401.mp4</v>
      </c>
      <c r="X23" s="45" t="str">
        <f t="shared" si="0"/>
        <v>200401</v>
      </c>
      <c r="Y23" s="29" t="s">
        <v>32</v>
      </c>
      <c r="AA23" s="45" t="s">
        <v>71</v>
      </c>
      <c r="AB23" s="29" t="s">
        <v>187</v>
      </c>
      <c r="AC23" s="29" t="s">
        <v>19</v>
      </c>
      <c r="AE23" s="29" t="s">
        <v>187</v>
      </c>
      <c r="AF23" s="29" t="s">
        <v>217</v>
      </c>
      <c r="AG23" s="29" t="s">
        <v>19</v>
      </c>
      <c r="AH23" s="29" t="s">
        <v>35</v>
      </c>
      <c r="AI23" s="29" t="s">
        <v>249</v>
      </c>
      <c r="AP23" s="45" t="s">
        <v>250</v>
      </c>
      <c r="AQ23" s="29" t="s">
        <v>19</v>
      </c>
    </row>
    <row r="24" spans="2:44" ht="57" x14ac:dyDescent="0.35">
      <c r="B24" s="45" t="s">
        <v>251</v>
      </c>
      <c r="C24" s="46" t="s">
        <v>252</v>
      </c>
      <c r="D24" s="29" t="s">
        <v>194</v>
      </c>
      <c r="E24" s="46" t="s">
        <v>253</v>
      </c>
      <c r="F24" s="57" t="s">
        <v>254</v>
      </c>
      <c r="G24" s="58" t="s">
        <v>255</v>
      </c>
      <c r="H24" s="56"/>
      <c r="I24" s="56"/>
      <c r="J24" s="56"/>
      <c r="O24" s="68" t="s">
        <v>256</v>
      </c>
      <c r="P24" s="68"/>
      <c r="Q24" s="68"/>
      <c r="R24" s="68"/>
      <c r="W24" s="45" t="str">
        <f>"skillvideo/skillvideo_"&amp;B24&amp;".mp4"</f>
        <v>skillvideo/skillvideo_200402.mp4</v>
      </c>
      <c r="X24" s="45" t="str">
        <f t="shared" si="0"/>
        <v>200402</v>
      </c>
      <c r="Y24" s="29" t="s">
        <v>35</v>
      </c>
      <c r="AA24" s="45" t="s">
        <v>71</v>
      </c>
      <c r="AB24" s="29" t="s">
        <v>187</v>
      </c>
      <c r="AC24" s="29" t="s">
        <v>257</v>
      </c>
      <c r="AE24" s="29" t="s">
        <v>187</v>
      </c>
      <c r="AF24" s="29" t="s">
        <v>19</v>
      </c>
      <c r="AG24" s="29" t="s">
        <v>19</v>
      </c>
      <c r="AH24" s="29" t="s">
        <v>19</v>
      </c>
      <c r="AI24" s="29" t="s">
        <v>209</v>
      </c>
    </row>
    <row r="25" spans="2:44" s="40" customFormat="1" x14ac:dyDescent="0.35">
      <c r="B25" s="60" t="s">
        <v>258</v>
      </c>
      <c r="C25" s="61" t="s">
        <v>259</v>
      </c>
      <c r="D25" s="40" t="s">
        <v>194</v>
      </c>
      <c r="E25" s="61"/>
      <c r="F25" s="62" t="s">
        <v>194</v>
      </c>
      <c r="G25" s="63"/>
      <c r="H25" s="63"/>
      <c r="I25" s="63"/>
      <c r="J25" s="63"/>
      <c r="K25" s="69"/>
      <c r="L25" s="69"/>
      <c r="M25" s="69"/>
      <c r="N25" s="69"/>
      <c r="O25" s="63"/>
      <c r="P25" s="63"/>
      <c r="Q25" s="63"/>
      <c r="R25" s="63"/>
      <c r="S25" s="70"/>
      <c r="T25" s="70"/>
      <c r="U25" s="70"/>
      <c r="V25" s="70"/>
      <c r="W25" s="70"/>
      <c r="X25" s="60" t="str">
        <f t="shared" si="0"/>
        <v>200403</v>
      </c>
      <c r="Y25" s="40" t="s">
        <v>220</v>
      </c>
      <c r="AA25" s="60" t="s">
        <v>71</v>
      </c>
      <c r="AB25" s="40" t="s">
        <v>187</v>
      </c>
      <c r="AK25" s="40" t="s">
        <v>221</v>
      </c>
      <c r="AO25" s="61"/>
      <c r="AP25" s="60"/>
    </row>
    <row r="26" spans="2:44" ht="57" x14ac:dyDescent="0.35">
      <c r="B26" s="45">
        <v>2005</v>
      </c>
      <c r="C26" s="46" t="s">
        <v>260</v>
      </c>
      <c r="D26" s="29" t="s">
        <v>194</v>
      </c>
      <c r="E26" s="57" t="s">
        <v>261</v>
      </c>
      <c r="F26" s="57" t="s">
        <v>262</v>
      </c>
      <c r="G26" s="58" t="s">
        <v>263</v>
      </c>
      <c r="H26" s="58"/>
      <c r="I26" s="56"/>
      <c r="J26" s="56"/>
      <c r="O26" s="68" t="s">
        <v>264</v>
      </c>
      <c r="P26" s="68"/>
      <c r="Q26" s="68"/>
      <c r="R26" s="68"/>
      <c r="W26" s="45" t="str">
        <f>"skillvideo/skillvideo_"&amp;B26&amp;".mp4"</f>
        <v>skillvideo/skillvideo_2005.mp4</v>
      </c>
      <c r="X26" s="45">
        <f t="shared" si="0"/>
        <v>2005</v>
      </c>
      <c r="Y26" s="29" t="s">
        <v>19</v>
      </c>
      <c r="AA26" s="45" t="s">
        <v>265</v>
      </c>
      <c r="AB26" s="29" t="s">
        <v>187</v>
      </c>
      <c r="AC26" s="29" t="s">
        <v>266</v>
      </c>
      <c r="AR26" s="29" t="s">
        <v>202</v>
      </c>
    </row>
    <row r="27" spans="2:44" ht="42.75" x14ac:dyDescent="0.35">
      <c r="B27" s="45" t="s">
        <v>267</v>
      </c>
      <c r="C27" s="46" t="s">
        <v>268</v>
      </c>
      <c r="D27" s="29" t="s">
        <v>194</v>
      </c>
      <c r="E27" s="57" t="s">
        <v>269</v>
      </c>
      <c r="F27" s="57" t="s">
        <v>270</v>
      </c>
      <c r="G27" s="58" t="s">
        <v>271</v>
      </c>
      <c r="H27" s="56"/>
      <c r="I27" s="56"/>
      <c r="J27" s="56"/>
      <c r="O27" s="68" t="s">
        <v>272</v>
      </c>
      <c r="P27" s="68"/>
      <c r="Q27" s="68"/>
      <c r="R27" s="68"/>
      <c r="W27" s="45" t="str">
        <f>"skillvideo/skillvideo_"&amp;B27&amp;".mp4"</f>
        <v>skillvideo/skillvideo_200501.mp4</v>
      </c>
      <c r="X27" s="45" t="str">
        <f t="shared" si="0"/>
        <v>200501</v>
      </c>
      <c r="Y27" s="29" t="s">
        <v>32</v>
      </c>
      <c r="AA27" s="45" t="s">
        <v>265</v>
      </c>
      <c r="AB27" s="29" t="s">
        <v>187</v>
      </c>
      <c r="AE27" s="29" t="s">
        <v>19</v>
      </c>
      <c r="AF27" s="29" t="s">
        <v>19</v>
      </c>
      <c r="AG27" s="29" t="s">
        <v>19</v>
      </c>
      <c r="AH27" s="29" t="s">
        <v>19</v>
      </c>
      <c r="AI27" s="29" t="s">
        <v>225</v>
      </c>
      <c r="AP27" s="45" t="s">
        <v>273</v>
      </c>
      <c r="AQ27" s="29" t="s">
        <v>19</v>
      </c>
    </row>
    <row r="28" spans="2:44" ht="71.25" x14ac:dyDescent="0.35">
      <c r="B28" s="45" t="s">
        <v>274</v>
      </c>
      <c r="C28" s="46" t="s">
        <v>275</v>
      </c>
      <c r="D28" s="29" t="s">
        <v>194</v>
      </c>
      <c r="E28" s="57" t="s">
        <v>276</v>
      </c>
      <c r="F28" s="57" t="s">
        <v>277</v>
      </c>
      <c r="G28" s="58" t="s">
        <v>278</v>
      </c>
      <c r="H28" s="58" t="s">
        <v>279</v>
      </c>
      <c r="I28" s="58"/>
      <c r="J28" s="56"/>
      <c r="O28" s="68" t="s">
        <v>280</v>
      </c>
      <c r="P28" s="68" t="s">
        <v>281</v>
      </c>
      <c r="Q28" s="68"/>
      <c r="R28" s="68"/>
      <c r="W28" s="45" t="str">
        <f>"skillvideo/skillvideo_"&amp;B28&amp;".mp4"</f>
        <v>skillvideo/skillvideo_200502.mp4</v>
      </c>
      <c r="X28" s="45" t="str">
        <f t="shared" si="0"/>
        <v>200502</v>
      </c>
      <c r="Y28" s="29" t="s">
        <v>35</v>
      </c>
      <c r="AA28" s="45" t="s">
        <v>265</v>
      </c>
      <c r="AB28" s="29" t="s">
        <v>187</v>
      </c>
      <c r="AC28" s="29" t="s">
        <v>282</v>
      </c>
      <c r="AF28" s="29" t="s">
        <v>217</v>
      </c>
      <c r="AG28" s="29" t="s">
        <v>19</v>
      </c>
      <c r="AH28" s="29" t="s">
        <v>19</v>
      </c>
      <c r="AI28" s="29" t="s">
        <v>283</v>
      </c>
    </row>
    <row r="29" spans="2:44" x14ac:dyDescent="0.35">
      <c r="B29" s="45" t="s">
        <v>284</v>
      </c>
      <c r="C29" s="46" t="s">
        <v>194</v>
      </c>
      <c r="D29" s="29" t="s">
        <v>194</v>
      </c>
      <c r="F29" s="57" t="s">
        <v>194</v>
      </c>
      <c r="G29" s="56"/>
      <c r="H29" s="56"/>
      <c r="I29" s="56"/>
      <c r="J29" s="56"/>
      <c r="O29" s="68"/>
      <c r="P29" s="68"/>
      <c r="Q29" s="68"/>
      <c r="R29" s="68"/>
      <c r="X29" s="45" t="str">
        <f t="shared" si="0"/>
        <v>200503</v>
      </c>
      <c r="Y29" s="29" t="s">
        <v>220</v>
      </c>
      <c r="AA29" s="45" t="s">
        <v>265</v>
      </c>
      <c r="AB29" s="29" t="s">
        <v>187</v>
      </c>
    </row>
    <row r="30" spans="2:44" x14ac:dyDescent="0.35">
      <c r="B30" s="45" t="s">
        <v>285</v>
      </c>
      <c r="C30" s="46" t="s">
        <v>194</v>
      </c>
      <c r="D30" s="29" t="s">
        <v>194</v>
      </c>
      <c r="F30" s="57" t="s">
        <v>194</v>
      </c>
      <c r="G30" s="56"/>
      <c r="H30" s="56"/>
      <c r="I30" s="56"/>
      <c r="J30" s="56"/>
      <c r="O30" s="68"/>
      <c r="P30" s="68"/>
      <c r="Q30" s="68"/>
      <c r="R30" s="68"/>
      <c r="X30" s="45" t="str">
        <f t="shared" si="0"/>
        <v>2006</v>
      </c>
      <c r="Y30" s="29" t="s">
        <v>19</v>
      </c>
      <c r="AA30" s="45" t="s">
        <v>285</v>
      </c>
      <c r="AB30" s="29" t="s">
        <v>187</v>
      </c>
    </row>
    <row r="31" spans="2:44" x14ac:dyDescent="0.35">
      <c r="B31" s="45" t="s">
        <v>286</v>
      </c>
      <c r="C31" s="46" t="s">
        <v>194</v>
      </c>
      <c r="D31" s="29" t="s">
        <v>194</v>
      </c>
      <c r="F31" s="57" t="s">
        <v>194</v>
      </c>
      <c r="G31" s="56"/>
      <c r="H31" s="56"/>
      <c r="I31" s="56"/>
      <c r="J31" s="56"/>
      <c r="O31" s="68"/>
      <c r="P31" s="68"/>
      <c r="Q31" s="68"/>
      <c r="R31" s="68"/>
      <c r="X31" s="45" t="str">
        <f t="shared" si="0"/>
        <v>200601</v>
      </c>
      <c r="Y31" s="29" t="s">
        <v>32</v>
      </c>
      <c r="AA31" s="45" t="s">
        <v>285</v>
      </c>
      <c r="AB31" s="29" t="s">
        <v>187</v>
      </c>
      <c r="AG31" s="29" t="s">
        <v>19</v>
      </c>
      <c r="AH31" s="29" t="s">
        <v>35</v>
      </c>
      <c r="AI31" s="29" t="s">
        <v>189</v>
      </c>
    </row>
    <row r="32" spans="2:44" x14ac:dyDescent="0.35">
      <c r="B32" s="45" t="s">
        <v>287</v>
      </c>
      <c r="C32" s="46" t="s">
        <v>194</v>
      </c>
      <c r="D32" s="29" t="s">
        <v>194</v>
      </c>
      <c r="F32" s="57" t="s">
        <v>194</v>
      </c>
      <c r="G32" s="56"/>
      <c r="H32" s="56"/>
      <c r="I32" s="56"/>
      <c r="J32" s="56"/>
      <c r="O32" s="68"/>
      <c r="P32" s="68"/>
      <c r="Q32" s="68"/>
      <c r="R32" s="68"/>
      <c r="X32" s="45" t="str">
        <f t="shared" si="0"/>
        <v>200602</v>
      </c>
      <c r="Y32" s="29" t="s">
        <v>35</v>
      </c>
      <c r="AA32" s="45" t="s">
        <v>285</v>
      </c>
      <c r="AB32" s="29" t="s">
        <v>187</v>
      </c>
      <c r="AF32" s="29" t="s">
        <v>220</v>
      </c>
      <c r="AG32" s="29" t="s">
        <v>19</v>
      </c>
      <c r="AH32" s="29" t="s">
        <v>19</v>
      </c>
      <c r="AI32" s="29" t="s">
        <v>225</v>
      </c>
    </row>
    <row r="33" spans="2:47" x14ac:dyDescent="0.35">
      <c r="B33" s="45" t="s">
        <v>288</v>
      </c>
      <c r="C33" s="46" t="s">
        <v>194</v>
      </c>
      <c r="D33" s="29" t="s">
        <v>194</v>
      </c>
      <c r="F33" s="57" t="s">
        <v>194</v>
      </c>
      <c r="G33" s="56"/>
      <c r="H33" s="56"/>
      <c r="I33" s="56"/>
      <c r="J33" s="56"/>
      <c r="O33" s="68"/>
      <c r="P33" s="68"/>
      <c r="Q33" s="68"/>
      <c r="R33" s="68"/>
      <c r="X33" s="45" t="str">
        <f t="shared" si="0"/>
        <v>200603</v>
      </c>
      <c r="Y33" s="29" t="s">
        <v>220</v>
      </c>
      <c r="AA33" s="45" t="s">
        <v>285</v>
      </c>
      <c r="AB33" s="29" t="s">
        <v>187</v>
      </c>
    </row>
    <row r="34" spans="2:47" ht="128.25" x14ac:dyDescent="0.35">
      <c r="B34" s="64" t="s">
        <v>289</v>
      </c>
      <c r="C34" s="65" t="s">
        <v>290</v>
      </c>
      <c r="D34" s="29" t="s">
        <v>194</v>
      </c>
      <c r="E34" s="46" t="s">
        <v>291</v>
      </c>
      <c r="F34" s="57" t="s">
        <v>292</v>
      </c>
      <c r="G34" s="58" t="s">
        <v>293</v>
      </c>
      <c r="H34" s="58" t="s">
        <v>294</v>
      </c>
      <c r="I34" s="58" t="s">
        <v>295</v>
      </c>
      <c r="J34" s="58" t="s">
        <v>296</v>
      </c>
      <c r="O34" s="68" t="s">
        <v>238</v>
      </c>
      <c r="P34" s="68" t="s">
        <v>239</v>
      </c>
      <c r="Q34" s="68" t="s">
        <v>240</v>
      </c>
      <c r="R34" s="68" t="s">
        <v>297</v>
      </c>
      <c r="W34" s="45" t="str">
        <f>"skillvideo/skillvideo_"&amp;B34&amp;".mp4"</f>
        <v>skillvideo/skillvideo_2007.mp4</v>
      </c>
      <c r="X34" s="45" t="str">
        <f t="shared" si="0"/>
        <v>2007</v>
      </c>
      <c r="Y34" s="29" t="s">
        <v>19</v>
      </c>
      <c r="AA34" s="45" t="s">
        <v>289</v>
      </c>
      <c r="AB34" s="29" t="s">
        <v>187</v>
      </c>
      <c r="AC34" s="29" t="s">
        <v>298</v>
      </c>
      <c r="AR34" s="29" t="s">
        <v>202</v>
      </c>
    </row>
    <row r="35" spans="2:47" ht="85.5" x14ac:dyDescent="0.35">
      <c r="B35" s="64" t="s">
        <v>299</v>
      </c>
      <c r="C35" s="65" t="s">
        <v>300</v>
      </c>
      <c r="D35" s="29" t="s">
        <v>194</v>
      </c>
      <c r="E35" s="46" t="s">
        <v>301</v>
      </c>
      <c r="F35" s="57" t="s">
        <v>302</v>
      </c>
      <c r="G35" s="58" t="s">
        <v>303</v>
      </c>
      <c r="H35" s="58" t="s">
        <v>304</v>
      </c>
      <c r="I35" s="56"/>
      <c r="J35" s="56"/>
      <c r="O35" s="68" t="s">
        <v>305</v>
      </c>
      <c r="P35" s="68" t="s">
        <v>297</v>
      </c>
      <c r="Q35" s="68"/>
      <c r="R35" s="68"/>
      <c r="W35" s="45" t="str">
        <f>"skillvideo/skillvideo_"&amp;B35&amp;".mp4"</f>
        <v>skillvideo/skillvideo_200701.mp4</v>
      </c>
      <c r="X35" s="45" t="str">
        <f t="shared" si="0"/>
        <v>200701</v>
      </c>
      <c r="Y35" s="29" t="s">
        <v>32</v>
      </c>
      <c r="AA35" s="45" t="s">
        <v>289</v>
      </c>
      <c r="AB35" s="29" t="s">
        <v>187</v>
      </c>
      <c r="AC35" s="29" t="s">
        <v>298</v>
      </c>
      <c r="AF35" s="29" t="s">
        <v>217</v>
      </c>
      <c r="AG35" s="29" t="s">
        <v>19</v>
      </c>
      <c r="AH35" s="29" t="s">
        <v>35</v>
      </c>
      <c r="AI35" s="29" t="s">
        <v>249</v>
      </c>
      <c r="AP35" s="45" t="s">
        <v>306</v>
      </c>
      <c r="AQ35" s="29" t="s">
        <v>19</v>
      </c>
    </row>
    <row r="36" spans="2:47" ht="57" x14ac:dyDescent="0.35">
      <c r="B36" s="64" t="s">
        <v>307</v>
      </c>
      <c r="C36" s="65" t="s">
        <v>308</v>
      </c>
      <c r="D36" s="29" t="s">
        <v>194</v>
      </c>
      <c r="E36" s="46" t="s">
        <v>309</v>
      </c>
      <c r="F36" s="57" t="s">
        <v>310</v>
      </c>
      <c r="G36" s="58" t="s">
        <v>311</v>
      </c>
      <c r="H36" s="56"/>
      <c r="I36" s="56"/>
      <c r="J36" s="56"/>
      <c r="O36" s="68" t="s">
        <v>312</v>
      </c>
      <c r="P36" s="68"/>
      <c r="Q36" s="68"/>
      <c r="R36" s="68"/>
      <c r="W36" s="45" t="str">
        <f>"skillvideo/skillvideo_"&amp;B36&amp;".mp4"</f>
        <v>skillvideo/skillvideo_200702.mp4</v>
      </c>
      <c r="X36" s="45" t="str">
        <f t="shared" si="0"/>
        <v>200702</v>
      </c>
      <c r="Y36" s="29" t="s">
        <v>35</v>
      </c>
      <c r="AA36" s="45" t="s">
        <v>289</v>
      </c>
      <c r="AB36" s="29" t="s">
        <v>187</v>
      </c>
      <c r="AC36" s="29" t="s">
        <v>19</v>
      </c>
      <c r="AE36" s="29" t="s">
        <v>187</v>
      </c>
      <c r="AF36" s="29" t="s">
        <v>217</v>
      </c>
      <c r="AG36" s="29" t="s">
        <v>19</v>
      </c>
      <c r="AH36" s="29" t="s">
        <v>19</v>
      </c>
      <c r="AI36" s="29" t="s">
        <v>225</v>
      </c>
      <c r="AK36" s="29" t="s">
        <v>313</v>
      </c>
      <c r="AR36" s="29" t="s">
        <v>19</v>
      </c>
      <c r="AS36" s="29" t="s">
        <v>19</v>
      </c>
      <c r="AT36" s="29" t="s">
        <v>314</v>
      </c>
      <c r="AU36" s="46" t="s">
        <v>315</v>
      </c>
    </row>
    <row r="37" spans="2:47" s="40" customFormat="1" x14ac:dyDescent="0.35">
      <c r="B37" s="60" t="s">
        <v>316</v>
      </c>
      <c r="C37" s="61" t="s">
        <v>317</v>
      </c>
      <c r="D37" s="40" t="s">
        <v>194</v>
      </c>
      <c r="E37" s="61"/>
      <c r="F37" s="57" t="s">
        <v>194</v>
      </c>
      <c r="G37" s="56"/>
      <c r="H37" s="63"/>
      <c r="I37" s="63"/>
      <c r="J37" s="63"/>
      <c r="K37" s="69"/>
      <c r="L37" s="69"/>
      <c r="M37" s="69"/>
      <c r="N37" s="69"/>
      <c r="O37" s="63"/>
      <c r="P37" s="63"/>
      <c r="Q37" s="63"/>
      <c r="R37" s="63"/>
      <c r="S37" s="70"/>
      <c r="T37" s="70"/>
      <c r="U37" s="70"/>
      <c r="V37" s="70"/>
      <c r="W37" s="70"/>
      <c r="X37" s="60" t="str">
        <f t="shared" si="0"/>
        <v>200703</v>
      </c>
      <c r="Y37" s="40" t="s">
        <v>220</v>
      </c>
      <c r="AA37" s="60" t="s">
        <v>289</v>
      </c>
      <c r="AB37" s="40" t="s">
        <v>187</v>
      </c>
      <c r="AK37" s="40" t="s">
        <v>221</v>
      </c>
      <c r="AO37" s="61"/>
      <c r="AP37" s="60"/>
    </row>
    <row r="38" spans="2:47" ht="57" x14ac:dyDescent="0.35">
      <c r="B38" s="45" t="s">
        <v>318</v>
      </c>
      <c r="C38" s="46" t="s">
        <v>319</v>
      </c>
      <c r="D38" s="29" t="s">
        <v>194</v>
      </c>
      <c r="E38" s="57" t="s">
        <v>320</v>
      </c>
      <c r="F38" s="57" t="s">
        <v>321</v>
      </c>
      <c r="G38" s="58" t="s">
        <v>322</v>
      </c>
      <c r="H38" s="56"/>
      <c r="I38" s="56"/>
      <c r="J38" s="56"/>
      <c r="O38" s="68" t="s">
        <v>323</v>
      </c>
      <c r="P38" s="68"/>
      <c r="Q38" s="68"/>
      <c r="R38" s="68"/>
      <c r="W38" s="45" t="str">
        <f>"skillvideo/skillvideo_"&amp;B38&amp;".mp4"</f>
        <v>skillvideo/skillvideo_2008.mp4</v>
      </c>
      <c r="X38" s="45" t="str">
        <f t="shared" si="0"/>
        <v>2008</v>
      </c>
      <c r="Y38" s="29" t="s">
        <v>19</v>
      </c>
      <c r="AA38" s="45" t="s">
        <v>318</v>
      </c>
      <c r="AB38" s="29" t="s">
        <v>187</v>
      </c>
      <c r="AC38" s="29" t="s">
        <v>324</v>
      </c>
      <c r="AR38" s="29" t="s">
        <v>19</v>
      </c>
      <c r="AS38" s="29" t="s">
        <v>19</v>
      </c>
      <c r="AT38" s="29" t="s">
        <v>314</v>
      </c>
    </row>
    <row r="39" spans="2:47" ht="115.5" x14ac:dyDescent="0.35">
      <c r="B39" s="45" t="s">
        <v>325</v>
      </c>
      <c r="C39" s="46" t="s">
        <v>326</v>
      </c>
      <c r="D39" s="29" t="s">
        <v>194</v>
      </c>
      <c r="E39" s="57" t="s">
        <v>327</v>
      </c>
      <c r="F39" s="57" t="s">
        <v>328</v>
      </c>
      <c r="G39" s="58" t="s">
        <v>329</v>
      </c>
      <c r="H39" s="58" t="s">
        <v>330</v>
      </c>
      <c r="I39" s="56"/>
      <c r="J39" s="56"/>
      <c r="O39" s="68" t="s">
        <v>331</v>
      </c>
      <c r="P39" s="68" t="s">
        <v>332</v>
      </c>
      <c r="Q39" s="68"/>
      <c r="R39" s="68"/>
      <c r="W39" s="45" t="str">
        <f>"skillvideo/skillvideo_"&amp;B39&amp;".mp4"</f>
        <v>skillvideo/skillvideo_200801.mp4</v>
      </c>
      <c r="X39" s="45" t="str">
        <f t="shared" si="0"/>
        <v>200801</v>
      </c>
      <c r="Y39" s="29" t="s">
        <v>32</v>
      </c>
      <c r="AA39" s="45" t="s">
        <v>318</v>
      </c>
      <c r="AB39" s="29" t="s">
        <v>187</v>
      </c>
      <c r="AC39" s="29" t="s">
        <v>333</v>
      </c>
      <c r="AG39" s="29" t="s">
        <v>19</v>
      </c>
      <c r="AH39" s="29" t="s">
        <v>19</v>
      </c>
      <c r="AI39" s="29" t="s">
        <v>220</v>
      </c>
      <c r="AP39" s="45" t="s">
        <v>334</v>
      </c>
      <c r="AQ39" s="29" t="s">
        <v>19</v>
      </c>
    </row>
    <row r="40" spans="2:47" ht="115.5" x14ac:dyDescent="0.35">
      <c r="B40" s="45" t="s">
        <v>335</v>
      </c>
      <c r="C40" s="46" t="s">
        <v>336</v>
      </c>
      <c r="D40" s="29" t="s">
        <v>194</v>
      </c>
      <c r="E40" s="57" t="s">
        <v>337</v>
      </c>
      <c r="F40" s="57" t="s">
        <v>338</v>
      </c>
      <c r="G40" s="58" t="s">
        <v>339</v>
      </c>
      <c r="H40" s="56"/>
      <c r="I40" s="56"/>
      <c r="J40" s="56"/>
      <c r="O40" s="68" t="s">
        <v>340</v>
      </c>
      <c r="P40" s="68"/>
      <c r="Q40" s="68"/>
      <c r="R40" s="68"/>
      <c r="W40" s="45" t="str">
        <f>"skillvideo/skillvideo_"&amp;B40&amp;".mp4"</f>
        <v>skillvideo/skillvideo_200802.mp4</v>
      </c>
      <c r="X40" s="45" t="str">
        <f t="shared" si="0"/>
        <v>200802</v>
      </c>
      <c r="Y40" s="29" t="s">
        <v>35</v>
      </c>
      <c r="AA40" s="45" t="s">
        <v>318</v>
      </c>
      <c r="AB40" s="29" t="s">
        <v>187</v>
      </c>
      <c r="AF40" s="29" t="s">
        <v>217</v>
      </c>
      <c r="AG40" s="29" t="s">
        <v>19</v>
      </c>
      <c r="AH40" s="29" t="s">
        <v>19</v>
      </c>
      <c r="AI40" s="29" t="s">
        <v>341</v>
      </c>
      <c r="AP40" s="45">
        <v>2008</v>
      </c>
    </row>
    <row r="41" spans="2:47" s="40" customFormat="1" x14ac:dyDescent="0.35">
      <c r="B41" s="60" t="s">
        <v>342</v>
      </c>
      <c r="C41" s="61" t="s">
        <v>343</v>
      </c>
      <c r="D41" s="40" t="s">
        <v>194</v>
      </c>
      <c r="E41" s="61"/>
      <c r="F41" s="57" t="s">
        <v>194</v>
      </c>
      <c r="G41" s="56"/>
      <c r="H41" s="63"/>
      <c r="I41" s="63"/>
      <c r="J41" s="63"/>
      <c r="K41" s="69"/>
      <c r="L41" s="69"/>
      <c r="M41" s="69"/>
      <c r="N41" s="69"/>
      <c r="O41" s="63"/>
      <c r="P41" s="63"/>
      <c r="Q41" s="63"/>
      <c r="R41" s="63"/>
      <c r="S41" s="70"/>
      <c r="T41" s="70"/>
      <c r="U41" s="70"/>
      <c r="V41" s="70"/>
      <c r="W41" s="70"/>
      <c r="X41" s="60" t="str">
        <f t="shared" si="0"/>
        <v>200803</v>
      </c>
      <c r="Y41" s="40" t="s">
        <v>220</v>
      </c>
      <c r="Z41" s="40" t="s">
        <v>35</v>
      </c>
      <c r="AA41" s="60" t="s">
        <v>318</v>
      </c>
      <c r="AB41" s="40" t="s">
        <v>187</v>
      </c>
      <c r="AK41" s="40" t="s">
        <v>221</v>
      </c>
      <c r="AO41" s="61"/>
      <c r="AP41" s="60"/>
    </row>
    <row r="42" spans="2:47" x14ac:dyDescent="0.35">
      <c r="B42" s="45">
        <v>200804</v>
      </c>
      <c r="C42" s="46" t="s">
        <v>344</v>
      </c>
      <c r="D42" s="29" t="s">
        <v>194</v>
      </c>
      <c r="F42" s="57" t="s">
        <v>194</v>
      </c>
      <c r="G42" s="56"/>
      <c r="H42" s="56"/>
      <c r="I42" s="56"/>
      <c r="J42" s="56"/>
      <c r="O42" s="68"/>
      <c r="P42" s="68"/>
      <c r="Q42" s="68"/>
      <c r="R42" s="68"/>
      <c r="X42" s="45">
        <f t="shared" si="0"/>
        <v>200804</v>
      </c>
      <c r="Y42" s="29" t="s">
        <v>220</v>
      </c>
      <c r="AA42" s="45" t="s">
        <v>74</v>
      </c>
      <c r="AB42" s="29" t="s">
        <v>187</v>
      </c>
      <c r="AK42" s="40" t="s">
        <v>221</v>
      </c>
    </row>
    <row r="43" spans="2:47" x14ac:dyDescent="0.35">
      <c r="B43" s="45" t="s">
        <v>345</v>
      </c>
      <c r="C43" s="46" t="s">
        <v>194</v>
      </c>
      <c r="D43" s="29" t="s">
        <v>194</v>
      </c>
      <c r="F43" s="57" t="s">
        <v>194</v>
      </c>
      <c r="G43" s="56"/>
      <c r="H43" s="56"/>
      <c r="I43" s="56"/>
      <c r="J43" s="56"/>
      <c r="O43" s="68"/>
      <c r="P43" s="68"/>
      <c r="Q43" s="68"/>
      <c r="R43" s="68"/>
      <c r="X43" s="45" t="str">
        <f t="shared" si="0"/>
        <v>2009</v>
      </c>
      <c r="Y43" s="29" t="s">
        <v>19</v>
      </c>
      <c r="AA43" s="45" t="s">
        <v>345</v>
      </c>
      <c r="AB43" s="29" t="s">
        <v>187</v>
      </c>
    </row>
    <row r="44" spans="2:47" x14ac:dyDescent="0.35">
      <c r="B44" s="45" t="s">
        <v>346</v>
      </c>
      <c r="C44" s="46" t="s">
        <v>194</v>
      </c>
      <c r="D44" s="29" t="s">
        <v>194</v>
      </c>
      <c r="F44" s="57" t="s">
        <v>194</v>
      </c>
      <c r="G44" s="56"/>
      <c r="H44" s="56"/>
      <c r="I44" s="56"/>
      <c r="J44" s="56"/>
      <c r="O44" s="68"/>
      <c r="P44" s="68"/>
      <c r="Q44" s="68"/>
      <c r="R44" s="68"/>
      <c r="X44" s="45" t="str">
        <f t="shared" si="0"/>
        <v>200901</v>
      </c>
      <c r="Y44" s="29" t="s">
        <v>32</v>
      </c>
      <c r="AA44" s="45" t="s">
        <v>345</v>
      </c>
      <c r="AB44" s="29" t="s">
        <v>187</v>
      </c>
      <c r="AG44" s="29" t="s">
        <v>19</v>
      </c>
      <c r="AH44" s="29" t="s">
        <v>35</v>
      </c>
      <c r="AI44" s="29" t="s">
        <v>189</v>
      </c>
    </row>
    <row r="45" spans="2:47" x14ac:dyDescent="0.35">
      <c r="B45" s="45" t="s">
        <v>347</v>
      </c>
      <c r="C45" s="46" t="s">
        <v>194</v>
      </c>
      <c r="D45" s="29" t="s">
        <v>194</v>
      </c>
      <c r="F45" s="57" t="s">
        <v>194</v>
      </c>
      <c r="G45" s="56"/>
      <c r="H45" s="56"/>
      <c r="I45" s="56"/>
      <c r="J45" s="56"/>
      <c r="O45" s="68"/>
      <c r="P45" s="68"/>
      <c r="Q45" s="68"/>
      <c r="R45" s="68"/>
      <c r="X45" s="45" t="str">
        <f t="shared" si="0"/>
        <v>200902</v>
      </c>
      <c r="Y45" s="29" t="s">
        <v>35</v>
      </c>
      <c r="AA45" s="45" t="s">
        <v>345</v>
      </c>
      <c r="AB45" s="29" t="s">
        <v>187</v>
      </c>
      <c r="AF45" s="29" t="s">
        <v>220</v>
      </c>
      <c r="AG45" s="29" t="s">
        <v>19</v>
      </c>
      <c r="AH45" s="29" t="s">
        <v>19</v>
      </c>
      <c r="AI45" s="29" t="s">
        <v>225</v>
      </c>
    </row>
    <row r="46" spans="2:47" x14ac:dyDescent="0.35">
      <c r="B46" s="45" t="s">
        <v>348</v>
      </c>
      <c r="C46" s="46" t="s">
        <v>194</v>
      </c>
      <c r="D46" s="29" t="s">
        <v>194</v>
      </c>
      <c r="F46" s="57" t="s">
        <v>194</v>
      </c>
      <c r="G46" s="56"/>
      <c r="H46" s="56"/>
      <c r="I46" s="56"/>
      <c r="J46" s="56"/>
      <c r="O46" s="68"/>
      <c r="P46" s="68"/>
      <c r="Q46" s="68"/>
      <c r="R46" s="68"/>
      <c r="X46" s="45" t="str">
        <f t="shared" si="0"/>
        <v>200903</v>
      </c>
      <c r="Y46" s="29" t="s">
        <v>220</v>
      </c>
      <c r="AA46" s="45" t="s">
        <v>345</v>
      </c>
      <c r="AB46" s="29" t="s">
        <v>187</v>
      </c>
    </row>
    <row r="47" spans="2:47" x14ac:dyDescent="0.35">
      <c r="B47" s="45" t="s">
        <v>349</v>
      </c>
      <c r="C47" s="46" t="s">
        <v>194</v>
      </c>
      <c r="D47" s="29" t="s">
        <v>194</v>
      </c>
      <c r="F47" s="57" t="s">
        <v>194</v>
      </c>
      <c r="G47" s="56"/>
      <c r="H47" s="56"/>
      <c r="I47" s="56"/>
      <c r="J47" s="56"/>
      <c r="O47" s="68"/>
      <c r="P47" s="68"/>
      <c r="Q47" s="68"/>
      <c r="R47" s="68"/>
      <c r="X47" s="45" t="str">
        <f t="shared" si="0"/>
        <v>2010</v>
      </c>
      <c r="Y47" s="29" t="s">
        <v>19</v>
      </c>
      <c r="AA47" s="45" t="s">
        <v>349</v>
      </c>
      <c r="AB47" s="29" t="s">
        <v>187</v>
      </c>
    </row>
    <row r="48" spans="2:47" x14ac:dyDescent="0.35">
      <c r="B48" s="45" t="s">
        <v>350</v>
      </c>
      <c r="C48" s="46" t="s">
        <v>194</v>
      </c>
      <c r="D48" s="29" t="s">
        <v>194</v>
      </c>
      <c r="F48" s="57" t="s">
        <v>194</v>
      </c>
      <c r="G48" s="56"/>
      <c r="H48" s="56"/>
      <c r="I48" s="56"/>
      <c r="J48" s="56"/>
      <c r="O48" s="68"/>
      <c r="P48" s="68"/>
      <c r="Q48" s="68"/>
      <c r="R48" s="68"/>
      <c r="X48" s="45" t="str">
        <f t="shared" si="0"/>
        <v>201001</v>
      </c>
      <c r="Y48" s="29" t="s">
        <v>32</v>
      </c>
      <c r="AA48" s="45" t="s">
        <v>349</v>
      </c>
      <c r="AB48" s="29" t="s">
        <v>187</v>
      </c>
      <c r="AG48" s="29" t="s">
        <v>19</v>
      </c>
      <c r="AH48" s="29" t="s">
        <v>35</v>
      </c>
      <c r="AI48" s="29" t="s">
        <v>189</v>
      </c>
    </row>
    <row r="49" spans="2:44" x14ac:dyDescent="0.35">
      <c r="B49" s="45" t="s">
        <v>351</v>
      </c>
      <c r="C49" s="46" t="s">
        <v>194</v>
      </c>
      <c r="D49" s="29" t="s">
        <v>194</v>
      </c>
      <c r="F49" s="57" t="s">
        <v>194</v>
      </c>
      <c r="G49" s="56"/>
      <c r="H49" s="56"/>
      <c r="I49" s="56"/>
      <c r="J49" s="56"/>
      <c r="O49" s="68"/>
      <c r="P49" s="68"/>
      <c r="Q49" s="68"/>
      <c r="R49" s="68"/>
      <c r="X49" s="45" t="str">
        <f t="shared" si="0"/>
        <v>201002</v>
      </c>
      <c r="Y49" s="29" t="s">
        <v>35</v>
      </c>
      <c r="AA49" s="45" t="s">
        <v>349</v>
      </c>
      <c r="AB49" s="29" t="s">
        <v>187</v>
      </c>
      <c r="AF49" s="29" t="s">
        <v>220</v>
      </c>
      <c r="AG49" s="29" t="s">
        <v>19</v>
      </c>
      <c r="AH49" s="29" t="s">
        <v>19</v>
      </c>
      <c r="AI49" s="29" t="s">
        <v>225</v>
      </c>
    </row>
    <row r="50" spans="2:44" x14ac:dyDescent="0.35">
      <c r="B50" s="45" t="s">
        <v>352</v>
      </c>
      <c r="C50" s="46" t="s">
        <v>194</v>
      </c>
      <c r="D50" s="29" t="s">
        <v>194</v>
      </c>
      <c r="F50" s="57" t="s">
        <v>194</v>
      </c>
      <c r="G50" s="56"/>
      <c r="H50" s="56"/>
      <c r="I50" s="56"/>
      <c r="J50" s="56"/>
      <c r="O50" s="68"/>
      <c r="P50" s="68"/>
      <c r="Q50" s="68"/>
      <c r="R50" s="68"/>
      <c r="X50" s="45" t="str">
        <f t="shared" si="0"/>
        <v>201003</v>
      </c>
      <c r="Y50" s="29" t="s">
        <v>220</v>
      </c>
      <c r="AA50" s="45" t="s">
        <v>349</v>
      </c>
      <c r="AB50" s="29" t="s">
        <v>187</v>
      </c>
    </row>
    <row r="51" spans="2:44" ht="114" x14ac:dyDescent="0.35">
      <c r="B51" s="64" t="s">
        <v>353</v>
      </c>
      <c r="C51" s="65" t="s">
        <v>354</v>
      </c>
      <c r="D51" s="29" t="s">
        <v>194</v>
      </c>
      <c r="E51" s="46" t="s">
        <v>355</v>
      </c>
      <c r="F51" s="57" t="s">
        <v>356</v>
      </c>
      <c r="G51" s="58" t="s">
        <v>357</v>
      </c>
      <c r="H51" s="58" t="s">
        <v>358</v>
      </c>
      <c r="I51" s="58" t="s">
        <v>359</v>
      </c>
      <c r="J51" s="58" t="s">
        <v>360</v>
      </c>
      <c r="O51" s="68" t="s">
        <v>238</v>
      </c>
      <c r="P51" s="68" t="s">
        <v>239</v>
      </c>
      <c r="Q51" s="68" t="s">
        <v>240</v>
      </c>
      <c r="R51" s="68" t="s">
        <v>241</v>
      </c>
      <c r="W51" s="45" t="str">
        <f t="shared" ref="W51:W53" si="1">"skillvideo/skillvideo_"&amp;B51&amp;".mp4"</f>
        <v>skillvideo/skillvideo_2011.mp4</v>
      </c>
      <c r="X51" s="45" t="str">
        <f t="shared" si="0"/>
        <v>2011</v>
      </c>
      <c r="Y51" s="29" t="s">
        <v>19</v>
      </c>
      <c r="AA51" s="45" t="s">
        <v>353</v>
      </c>
      <c r="AB51" s="29" t="s">
        <v>187</v>
      </c>
      <c r="AR51" s="29" t="s">
        <v>202</v>
      </c>
    </row>
    <row r="52" spans="2:44" ht="142.5" x14ac:dyDescent="0.35">
      <c r="B52" s="64" t="s">
        <v>361</v>
      </c>
      <c r="C52" s="65" t="s">
        <v>362</v>
      </c>
      <c r="D52" s="29" t="s">
        <v>194</v>
      </c>
      <c r="E52" s="46" t="s">
        <v>363</v>
      </c>
      <c r="F52" s="57" t="s">
        <v>364</v>
      </c>
      <c r="G52" s="58" t="s">
        <v>365</v>
      </c>
      <c r="H52" s="58"/>
      <c r="I52" s="58" t="s">
        <v>366</v>
      </c>
      <c r="J52" s="58" t="s">
        <v>367</v>
      </c>
      <c r="O52" s="68" t="s">
        <v>368</v>
      </c>
      <c r="P52" s="68"/>
      <c r="Q52" s="68" t="s">
        <v>369</v>
      </c>
      <c r="R52" s="68" t="s">
        <v>248</v>
      </c>
      <c r="W52" s="45" t="str">
        <f t="shared" si="1"/>
        <v>skillvideo/skillvideo_201101.mp4</v>
      </c>
      <c r="X52" s="45" t="str">
        <f t="shared" si="0"/>
        <v>201101</v>
      </c>
      <c r="Y52" s="29" t="s">
        <v>32</v>
      </c>
      <c r="AA52" s="45" t="s">
        <v>353</v>
      </c>
      <c r="AB52" s="29" t="s">
        <v>187</v>
      </c>
      <c r="AC52" s="29" t="s">
        <v>370</v>
      </c>
      <c r="AF52" s="29" t="s">
        <v>217</v>
      </c>
      <c r="AG52" s="29" t="s">
        <v>19</v>
      </c>
      <c r="AH52" s="29" t="s">
        <v>35</v>
      </c>
      <c r="AI52" s="29" t="s">
        <v>35</v>
      </c>
      <c r="AP52" s="45" t="s">
        <v>371</v>
      </c>
      <c r="AQ52" s="29" t="s">
        <v>19</v>
      </c>
    </row>
    <row r="53" spans="2:44" ht="71.25" x14ac:dyDescent="0.35">
      <c r="B53" s="64" t="s">
        <v>372</v>
      </c>
      <c r="C53" s="65" t="s">
        <v>373</v>
      </c>
      <c r="D53" s="29" t="s">
        <v>194</v>
      </c>
      <c r="E53" s="46" t="s">
        <v>374</v>
      </c>
      <c r="F53" s="57" t="s">
        <v>375</v>
      </c>
      <c r="G53" s="58" t="s">
        <v>376</v>
      </c>
      <c r="H53" s="58"/>
      <c r="I53" s="56"/>
      <c r="J53" s="56"/>
      <c r="O53" s="68" t="s">
        <v>377</v>
      </c>
      <c r="P53" s="68"/>
      <c r="Q53" s="68"/>
      <c r="R53" s="68"/>
      <c r="W53" s="45" t="str">
        <f t="shared" si="1"/>
        <v>skillvideo/skillvideo_201102.mp4</v>
      </c>
      <c r="X53" s="45" t="str">
        <f t="shared" si="0"/>
        <v>201102</v>
      </c>
      <c r="Y53" s="29" t="s">
        <v>35</v>
      </c>
      <c r="AA53" s="45" t="s">
        <v>353</v>
      </c>
      <c r="AB53" s="29" t="s">
        <v>187</v>
      </c>
      <c r="AC53" s="29" t="s">
        <v>370</v>
      </c>
      <c r="AE53" s="29" t="s">
        <v>32</v>
      </c>
      <c r="AF53" s="29" t="s">
        <v>217</v>
      </c>
      <c r="AG53" s="29" t="s">
        <v>19</v>
      </c>
      <c r="AH53" s="29" t="s">
        <v>19</v>
      </c>
      <c r="AI53" s="29" t="s">
        <v>378</v>
      </c>
    </row>
    <row r="54" spans="2:44" x14ac:dyDescent="0.35">
      <c r="B54" s="45">
        <v>201103</v>
      </c>
      <c r="C54" s="46" t="s">
        <v>379</v>
      </c>
      <c r="D54" s="29" t="s">
        <v>194</v>
      </c>
      <c r="F54" s="57" t="s">
        <v>194</v>
      </c>
      <c r="G54" s="56"/>
      <c r="H54" s="56"/>
      <c r="I54" s="56"/>
      <c r="J54" s="56"/>
      <c r="O54" s="68"/>
      <c r="P54" s="68"/>
      <c r="Q54" s="68"/>
      <c r="R54" s="68"/>
      <c r="X54" s="45">
        <v>201102</v>
      </c>
      <c r="Y54" s="29" t="s">
        <v>220</v>
      </c>
      <c r="AA54" s="45">
        <v>2011</v>
      </c>
      <c r="AB54" s="29" t="s">
        <v>187</v>
      </c>
      <c r="AK54" s="40"/>
    </row>
    <row r="55" spans="2:44" ht="85.5" x14ac:dyDescent="0.35">
      <c r="B55" s="45" t="s">
        <v>74</v>
      </c>
      <c r="C55" s="46" t="s">
        <v>380</v>
      </c>
      <c r="D55" s="29" t="s">
        <v>194</v>
      </c>
      <c r="E55" s="46" t="s">
        <v>381</v>
      </c>
      <c r="F55" s="57" t="s">
        <v>382</v>
      </c>
      <c r="G55" s="58" t="s">
        <v>383</v>
      </c>
      <c r="H55" s="58" t="s">
        <v>384</v>
      </c>
      <c r="I55" s="58" t="s">
        <v>385</v>
      </c>
      <c r="J55" s="56"/>
      <c r="O55" s="68" t="s">
        <v>238</v>
      </c>
      <c r="P55" s="68" t="s">
        <v>239</v>
      </c>
      <c r="Q55" s="68" t="s">
        <v>240</v>
      </c>
      <c r="R55" s="68"/>
      <c r="W55" s="45" t="str">
        <f t="shared" ref="W55:W57" si="2">"skillvideo/skillvideo_"&amp;B55&amp;".mp4"</f>
        <v>skillvideo/skillvideo_2012.mp4</v>
      </c>
      <c r="X55" s="45" t="str">
        <f t="shared" si="0"/>
        <v>2012</v>
      </c>
      <c r="Y55" s="29" t="s">
        <v>19</v>
      </c>
      <c r="AA55" s="45" t="s">
        <v>74</v>
      </c>
      <c r="AB55" s="29" t="s">
        <v>187</v>
      </c>
      <c r="AC55" s="29" t="s">
        <v>19</v>
      </c>
      <c r="AR55" s="29" t="s">
        <v>202</v>
      </c>
    </row>
    <row r="56" spans="2:44" ht="42.75" x14ac:dyDescent="0.35">
      <c r="B56" s="45" t="s">
        <v>386</v>
      </c>
      <c r="C56" s="46" t="s">
        <v>387</v>
      </c>
      <c r="D56" s="29" t="s">
        <v>194</v>
      </c>
      <c r="E56" s="46" t="s">
        <v>388</v>
      </c>
      <c r="F56" s="57" t="s">
        <v>389</v>
      </c>
      <c r="G56" s="58" t="s">
        <v>390</v>
      </c>
      <c r="H56" s="56"/>
      <c r="I56" s="56"/>
      <c r="J56" s="56"/>
      <c r="O56" s="68" t="s">
        <v>391</v>
      </c>
      <c r="P56" s="68"/>
      <c r="Q56" s="68"/>
      <c r="R56" s="68"/>
      <c r="W56" s="45" t="str">
        <f t="shared" si="2"/>
        <v>skillvideo/skillvideo_201201.mp4</v>
      </c>
      <c r="X56" s="45" t="str">
        <f t="shared" si="0"/>
        <v>201201</v>
      </c>
      <c r="Y56" s="29" t="s">
        <v>32</v>
      </c>
      <c r="AA56" s="45" t="s">
        <v>74</v>
      </c>
      <c r="AB56" s="29" t="s">
        <v>187</v>
      </c>
      <c r="AG56" s="29" t="s">
        <v>19</v>
      </c>
      <c r="AH56" s="29" t="s">
        <v>35</v>
      </c>
      <c r="AI56" s="29" t="s">
        <v>249</v>
      </c>
      <c r="AP56" s="45" t="s">
        <v>392</v>
      </c>
      <c r="AQ56" s="29" t="s">
        <v>19</v>
      </c>
    </row>
    <row r="57" spans="2:44" ht="85.5" x14ac:dyDescent="0.35">
      <c r="B57" s="45" t="s">
        <v>393</v>
      </c>
      <c r="C57" s="46" t="s">
        <v>394</v>
      </c>
      <c r="D57" s="29" t="s">
        <v>395</v>
      </c>
      <c r="E57" s="46" t="s">
        <v>396</v>
      </c>
      <c r="F57" s="57" t="s">
        <v>397</v>
      </c>
      <c r="G57" s="58" t="s">
        <v>398</v>
      </c>
      <c r="H57" s="56"/>
      <c r="I57" s="56"/>
      <c r="J57" s="56"/>
      <c r="O57" s="68" t="s">
        <v>399</v>
      </c>
      <c r="P57" s="68"/>
      <c r="Q57" s="68"/>
      <c r="R57" s="68"/>
      <c r="W57" s="45" t="str">
        <f t="shared" si="2"/>
        <v>skillvideo/skillvideo_201202.mp4</v>
      </c>
      <c r="X57" s="45" t="str">
        <f t="shared" si="0"/>
        <v>201202</v>
      </c>
      <c r="Y57" s="29" t="s">
        <v>35</v>
      </c>
      <c r="AA57" s="45" t="s">
        <v>74</v>
      </c>
      <c r="AB57" s="29" t="s">
        <v>187</v>
      </c>
      <c r="AC57" s="29" t="s">
        <v>400</v>
      </c>
      <c r="AG57" s="29" t="s">
        <v>19</v>
      </c>
      <c r="AH57" s="29" t="s">
        <v>32</v>
      </c>
      <c r="AI57" s="29" t="s">
        <v>69</v>
      </c>
    </row>
    <row r="58" spans="2:44" x14ac:dyDescent="0.35">
      <c r="B58" s="45" t="s">
        <v>401</v>
      </c>
      <c r="C58" s="46" t="s">
        <v>402</v>
      </c>
      <c r="D58" s="29" t="s">
        <v>194</v>
      </c>
      <c r="F58" s="57" t="s">
        <v>194</v>
      </c>
      <c r="G58" s="56"/>
      <c r="H58" s="56"/>
      <c r="I58" s="56"/>
      <c r="J58" s="56"/>
      <c r="O58" s="68"/>
      <c r="P58" s="68"/>
      <c r="Q58" s="68"/>
      <c r="R58" s="68"/>
      <c r="X58" s="45" t="str">
        <f t="shared" si="0"/>
        <v>201203</v>
      </c>
      <c r="Y58" s="29" t="s">
        <v>220</v>
      </c>
      <c r="AA58" s="45" t="s">
        <v>74</v>
      </c>
      <c r="AB58" s="29" t="s">
        <v>187</v>
      </c>
      <c r="AK58" s="40" t="s">
        <v>221</v>
      </c>
    </row>
    <row r="59" spans="2:44" x14ac:dyDescent="0.35">
      <c r="B59" s="45">
        <v>201204</v>
      </c>
      <c r="C59" s="46" t="s">
        <v>344</v>
      </c>
      <c r="D59" s="29" t="s">
        <v>194</v>
      </c>
      <c r="F59" s="57" t="s">
        <v>194</v>
      </c>
      <c r="G59" s="56"/>
      <c r="H59" s="56"/>
      <c r="I59" s="56"/>
      <c r="J59" s="56"/>
      <c r="O59" s="68"/>
      <c r="P59" s="68"/>
      <c r="Q59" s="68"/>
      <c r="R59" s="68"/>
      <c r="X59" s="45">
        <f t="shared" si="0"/>
        <v>201204</v>
      </c>
      <c r="Y59" s="29" t="s">
        <v>220</v>
      </c>
      <c r="AA59" s="45" t="s">
        <v>74</v>
      </c>
      <c r="AB59" s="29" t="s">
        <v>187</v>
      </c>
      <c r="AK59" s="40" t="s">
        <v>221</v>
      </c>
    </row>
    <row r="60" spans="2:44" x14ac:dyDescent="0.35">
      <c r="B60" s="45" t="s">
        <v>403</v>
      </c>
      <c r="C60" s="46" t="s">
        <v>194</v>
      </c>
      <c r="D60" s="29" t="s">
        <v>194</v>
      </c>
      <c r="F60" s="57" t="s">
        <v>194</v>
      </c>
      <c r="G60" s="56"/>
      <c r="H60" s="56"/>
      <c r="I60" s="56"/>
      <c r="J60" s="56"/>
      <c r="O60" s="68"/>
      <c r="P60" s="68"/>
      <c r="Q60" s="68"/>
      <c r="R60" s="68"/>
      <c r="X60" s="45" t="str">
        <f t="shared" si="0"/>
        <v>2013</v>
      </c>
      <c r="Y60" s="29" t="s">
        <v>19</v>
      </c>
      <c r="AA60" s="45" t="s">
        <v>403</v>
      </c>
      <c r="AB60" s="29" t="s">
        <v>187</v>
      </c>
    </row>
    <row r="61" spans="2:44" x14ac:dyDescent="0.35">
      <c r="B61" s="45" t="s">
        <v>404</v>
      </c>
      <c r="C61" s="46" t="s">
        <v>194</v>
      </c>
      <c r="D61" s="29" t="s">
        <v>194</v>
      </c>
      <c r="F61" s="57" t="s">
        <v>194</v>
      </c>
      <c r="G61" s="56"/>
      <c r="H61" s="56"/>
      <c r="I61" s="56"/>
      <c r="J61" s="56"/>
      <c r="O61" s="68"/>
      <c r="P61" s="68"/>
      <c r="Q61" s="68"/>
      <c r="R61" s="68"/>
      <c r="X61" s="45" t="str">
        <f t="shared" si="0"/>
        <v>201301</v>
      </c>
      <c r="Y61" s="29" t="s">
        <v>32</v>
      </c>
      <c r="AA61" s="45" t="s">
        <v>403</v>
      </c>
      <c r="AB61" s="29" t="s">
        <v>187</v>
      </c>
      <c r="AG61" s="29" t="s">
        <v>19</v>
      </c>
      <c r="AH61" s="29" t="s">
        <v>35</v>
      </c>
      <c r="AI61" s="29" t="s">
        <v>189</v>
      </c>
    </row>
    <row r="62" spans="2:44" x14ac:dyDescent="0.35">
      <c r="B62" s="45" t="s">
        <v>405</v>
      </c>
      <c r="C62" s="46" t="s">
        <v>194</v>
      </c>
      <c r="D62" s="29" t="s">
        <v>194</v>
      </c>
      <c r="F62" s="57" t="s">
        <v>194</v>
      </c>
      <c r="G62" s="56"/>
      <c r="H62" s="56"/>
      <c r="I62" s="56"/>
      <c r="J62" s="56"/>
      <c r="O62" s="68"/>
      <c r="P62" s="68"/>
      <c r="Q62" s="68"/>
      <c r="R62" s="68"/>
      <c r="X62" s="45" t="str">
        <f t="shared" si="0"/>
        <v>201302</v>
      </c>
      <c r="Y62" s="29" t="s">
        <v>35</v>
      </c>
      <c r="AA62" s="45" t="s">
        <v>403</v>
      </c>
      <c r="AB62" s="29" t="s">
        <v>187</v>
      </c>
      <c r="AF62" s="29" t="s">
        <v>220</v>
      </c>
      <c r="AG62" s="29" t="s">
        <v>19</v>
      </c>
      <c r="AH62" s="29" t="s">
        <v>19</v>
      </c>
      <c r="AI62" s="29" t="s">
        <v>225</v>
      </c>
    </row>
    <row r="63" spans="2:44" x14ac:dyDescent="0.35">
      <c r="B63" s="45" t="s">
        <v>406</v>
      </c>
      <c r="C63" s="46" t="s">
        <v>194</v>
      </c>
      <c r="D63" s="29" t="s">
        <v>194</v>
      </c>
      <c r="F63" s="57" t="s">
        <v>194</v>
      </c>
      <c r="G63" s="56"/>
      <c r="H63" s="56"/>
      <c r="I63" s="56"/>
      <c r="J63" s="56"/>
      <c r="O63" s="68"/>
      <c r="P63" s="68"/>
      <c r="Q63" s="68"/>
      <c r="R63" s="68"/>
      <c r="X63" s="45" t="str">
        <f t="shared" si="0"/>
        <v>201303</v>
      </c>
      <c r="Y63" s="29" t="s">
        <v>220</v>
      </c>
      <c r="AA63" s="45" t="s">
        <v>403</v>
      </c>
      <c r="AB63" s="29" t="s">
        <v>187</v>
      </c>
    </row>
    <row r="64" spans="2:44" ht="85.5" x14ac:dyDescent="0.35">
      <c r="B64" s="45" t="s">
        <v>407</v>
      </c>
      <c r="C64" s="46" t="s">
        <v>408</v>
      </c>
      <c r="D64" s="29" t="s">
        <v>194</v>
      </c>
      <c r="E64" s="46" t="s">
        <v>409</v>
      </c>
      <c r="F64" s="57" t="s">
        <v>410</v>
      </c>
      <c r="G64" s="58" t="s">
        <v>411</v>
      </c>
      <c r="H64" s="58" t="s">
        <v>412</v>
      </c>
      <c r="I64" s="58" t="s">
        <v>413</v>
      </c>
      <c r="J64" s="56"/>
      <c r="O64" s="68" t="s">
        <v>238</v>
      </c>
      <c r="P64" s="68" t="s">
        <v>239</v>
      </c>
      <c r="Q64" s="68" t="s">
        <v>240</v>
      </c>
      <c r="R64" s="68"/>
      <c r="W64" s="45" t="str">
        <f>"skillvideo/skillvideo_"&amp;B64&amp;".mp4"</f>
        <v>skillvideo/skillvideo_2014.mp4</v>
      </c>
      <c r="X64" s="45" t="str">
        <f t="shared" si="0"/>
        <v>2014</v>
      </c>
      <c r="Y64" s="29" t="s">
        <v>19</v>
      </c>
      <c r="AA64" s="45" t="s">
        <v>407</v>
      </c>
      <c r="AB64" s="29" t="s">
        <v>187</v>
      </c>
      <c r="AC64" s="29" t="s">
        <v>414</v>
      </c>
      <c r="AR64" s="29" t="s">
        <v>202</v>
      </c>
    </row>
    <row r="65" spans="2:45" ht="57" x14ac:dyDescent="0.35">
      <c r="B65" s="45" t="s">
        <v>415</v>
      </c>
      <c r="C65" s="46" t="s">
        <v>416</v>
      </c>
      <c r="D65" s="29" t="s">
        <v>194</v>
      </c>
      <c r="E65" s="46" t="s">
        <v>417</v>
      </c>
      <c r="F65" s="57" t="s">
        <v>418</v>
      </c>
      <c r="G65" s="58" t="s">
        <v>419</v>
      </c>
      <c r="H65" s="56"/>
      <c r="I65" s="56"/>
      <c r="J65" s="56"/>
      <c r="O65" s="68" t="s">
        <v>391</v>
      </c>
      <c r="P65" s="68"/>
      <c r="Q65" s="68"/>
      <c r="R65" s="68"/>
      <c r="W65" s="45" t="str">
        <f>"skillvideo/skillvideo_"&amp;B65&amp;".mp4"</f>
        <v>skillvideo/skillvideo_201401.mp4</v>
      </c>
      <c r="X65" s="45">
        <v>201402</v>
      </c>
      <c r="Y65" s="29" t="s">
        <v>32</v>
      </c>
      <c r="AA65" s="45" t="s">
        <v>407</v>
      </c>
      <c r="AB65" s="29" t="s">
        <v>187</v>
      </c>
      <c r="AC65" s="29" t="s">
        <v>420</v>
      </c>
      <c r="AF65" s="29" t="s">
        <v>217</v>
      </c>
      <c r="AG65" s="29" t="s">
        <v>19</v>
      </c>
      <c r="AH65" s="29" t="s">
        <v>32</v>
      </c>
      <c r="AI65" s="29" t="s">
        <v>220</v>
      </c>
      <c r="AP65" s="130" t="s">
        <v>421</v>
      </c>
      <c r="AQ65" s="29" t="s">
        <v>19</v>
      </c>
      <c r="AS65" s="29" t="s">
        <v>32</v>
      </c>
    </row>
    <row r="66" spans="2:45" ht="99.75" x14ac:dyDescent="0.35">
      <c r="B66" s="45" t="s">
        <v>422</v>
      </c>
      <c r="C66" s="46" t="s">
        <v>423</v>
      </c>
      <c r="D66" s="29" t="s">
        <v>194</v>
      </c>
      <c r="E66" s="46" t="s">
        <v>424</v>
      </c>
      <c r="F66" s="57" t="s">
        <v>425</v>
      </c>
      <c r="G66" s="58" t="s">
        <v>426</v>
      </c>
      <c r="H66" s="58" t="s">
        <v>427</v>
      </c>
      <c r="I66" s="56"/>
      <c r="J66" s="56"/>
      <c r="O66" s="68" t="s">
        <v>428</v>
      </c>
      <c r="P66" s="68" t="s">
        <v>429</v>
      </c>
      <c r="Q66" s="68"/>
      <c r="R66" s="68"/>
      <c r="W66" s="45" t="str">
        <f>"skillvideo/skillvideo_"&amp;B66&amp;".mp4"</f>
        <v>skillvideo/skillvideo_201402.mp4</v>
      </c>
      <c r="X66" s="45">
        <v>201401</v>
      </c>
      <c r="Y66" s="29" t="s">
        <v>35</v>
      </c>
      <c r="AA66" s="45" t="s">
        <v>407</v>
      </c>
      <c r="AB66" s="29" t="s">
        <v>187</v>
      </c>
      <c r="AC66" s="29" t="s">
        <v>430</v>
      </c>
      <c r="AE66" s="29" t="s">
        <v>19</v>
      </c>
      <c r="AF66" s="29" t="s">
        <v>431</v>
      </c>
      <c r="AG66" s="29" t="s">
        <v>19</v>
      </c>
      <c r="AH66" s="29" t="s">
        <v>19</v>
      </c>
      <c r="AI66" s="29" t="s">
        <v>35</v>
      </c>
      <c r="AK66" s="29" t="s">
        <v>432</v>
      </c>
      <c r="AP66" s="130" t="s">
        <v>407</v>
      </c>
    </row>
    <row r="67" spans="2:45" ht="33" x14ac:dyDescent="0.35">
      <c r="B67" s="45">
        <v>2014021</v>
      </c>
      <c r="C67" s="46" t="s">
        <v>423</v>
      </c>
      <c r="D67" s="29" t="s">
        <v>433</v>
      </c>
      <c r="F67" s="57"/>
      <c r="G67" s="58" t="s">
        <v>426</v>
      </c>
      <c r="H67" s="58" t="s">
        <v>427</v>
      </c>
      <c r="I67" s="56"/>
      <c r="J67" s="56"/>
      <c r="O67" s="68" t="s">
        <v>428</v>
      </c>
      <c r="P67" s="68" t="s">
        <v>429</v>
      </c>
      <c r="Q67" s="68"/>
      <c r="R67" s="68"/>
      <c r="W67" s="45" t="str">
        <f>"skillvideo/skillvideo_"&amp;B67&amp;".mp4"</f>
        <v>skillvideo/skillvideo_2014021.mp4</v>
      </c>
      <c r="X67" s="45">
        <v>201401</v>
      </c>
      <c r="Y67" s="29" t="s">
        <v>35</v>
      </c>
      <c r="AA67" s="45" t="s">
        <v>407</v>
      </c>
      <c r="AB67" s="29" t="s">
        <v>187</v>
      </c>
      <c r="AC67" s="29" t="s">
        <v>430</v>
      </c>
      <c r="AE67" s="29" t="s">
        <v>19</v>
      </c>
      <c r="AF67" s="29" t="s">
        <v>431</v>
      </c>
      <c r="AG67" s="29" t="s">
        <v>19</v>
      </c>
      <c r="AH67" s="29" t="s">
        <v>19</v>
      </c>
      <c r="AI67" s="29" t="s">
        <v>35</v>
      </c>
      <c r="AK67" s="29" t="s">
        <v>432</v>
      </c>
      <c r="AP67" s="130" t="s">
        <v>434</v>
      </c>
    </row>
    <row r="68" spans="2:45" x14ac:dyDescent="0.35">
      <c r="B68" s="45" t="s">
        <v>435</v>
      </c>
      <c r="C68" s="46" t="s">
        <v>436</v>
      </c>
      <c r="D68" s="29" t="s">
        <v>194</v>
      </c>
      <c r="F68" s="57" t="s">
        <v>194</v>
      </c>
      <c r="G68" s="56"/>
      <c r="H68" s="56"/>
      <c r="I68" s="56"/>
      <c r="J68" s="56"/>
      <c r="O68" s="68"/>
      <c r="P68" s="68"/>
      <c r="Q68" s="68"/>
      <c r="R68" s="68"/>
      <c r="X68" s="45" t="str">
        <f t="shared" si="0"/>
        <v>201403</v>
      </c>
      <c r="Y68" s="29" t="s">
        <v>220</v>
      </c>
      <c r="Z68" s="29" t="s">
        <v>35</v>
      </c>
      <c r="AA68" s="45" t="s">
        <v>407</v>
      </c>
      <c r="AB68" s="29" t="s">
        <v>187</v>
      </c>
      <c r="AK68" s="40" t="s">
        <v>221</v>
      </c>
    </row>
    <row r="69" spans="2:45" ht="57" x14ac:dyDescent="0.35">
      <c r="B69" s="133" t="s">
        <v>437</v>
      </c>
      <c r="C69" s="46" t="s">
        <v>438</v>
      </c>
      <c r="D69" s="29" t="s">
        <v>194</v>
      </c>
      <c r="E69" s="57" t="s">
        <v>439</v>
      </c>
      <c r="F69" s="57" t="s">
        <v>440</v>
      </c>
      <c r="G69" s="56" t="s">
        <v>441</v>
      </c>
      <c r="H69" s="56"/>
      <c r="I69" s="56"/>
      <c r="J69" s="56"/>
      <c r="O69" s="68" t="s">
        <v>442</v>
      </c>
      <c r="P69" s="68"/>
      <c r="Q69" s="68"/>
      <c r="R69" s="68"/>
      <c r="W69" s="45" t="str">
        <f>"skillvideo/skillvideo_"&amp;B69&amp;".mp4"</f>
        <v>skillvideo/skillvideo_2015.mp4</v>
      </c>
      <c r="X69" s="45" t="str">
        <f t="shared" si="0"/>
        <v>2015</v>
      </c>
      <c r="Y69" s="29" t="s">
        <v>19</v>
      </c>
      <c r="AA69" s="45" t="s">
        <v>437</v>
      </c>
      <c r="AB69" s="29" t="s">
        <v>187</v>
      </c>
      <c r="AC69" s="29" t="s">
        <v>443</v>
      </c>
      <c r="AR69" s="29" t="s">
        <v>202</v>
      </c>
    </row>
    <row r="70" spans="2:45" ht="57" x14ac:dyDescent="0.35">
      <c r="B70" s="133" t="s">
        <v>444</v>
      </c>
      <c r="C70" s="46" t="s">
        <v>445</v>
      </c>
      <c r="D70" s="29" t="s">
        <v>194</v>
      </c>
      <c r="E70" s="57" t="s">
        <v>446</v>
      </c>
      <c r="F70" s="57" t="s">
        <v>447</v>
      </c>
      <c r="G70" s="56" t="s">
        <v>448</v>
      </c>
      <c r="H70" s="56"/>
      <c r="I70" s="56"/>
      <c r="J70" s="56"/>
      <c r="O70" s="68" t="s">
        <v>449</v>
      </c>
      <c r="P70" s="68"/>
      <c r="Q70" s="68"/>
      <c r="R70" s="68"/>
      <c r="W70" s="45" t="str">
        <f>"skillvideo/skillvideo_"&amp;B70&amp;".mp4"</f>
        <v>skillvideo/skillvideo_201501.mp4</v>
      </c>
      <c r="X70" s="45" t="str">
        <f t="shared" si="0"/>
        <v>201501</v>
      </c>
      <c r="Y70" s="29" t="s">
        <v>32</v>
      </c>
      <c r="AA70" s="45" t="s">
        <v>437</v>
      </c>
      <c r="AB70" s="29" t="s">
        <v>187</v>
      </c>
      <c r="AG70" s="29" t="s">
        <v>19</v>
      </c>
      <c r="AH70" s="29" t="s">
        <v>32</v>
      </c>
      <c r="AI70" s="29" t="s">
        <v>220</v>
      </c>
      <c r="AP70" s="45" t="s">
        <v>450</v>
      </c>
      <c r="AQ70" s="29" t="s">
        <v>19</v>
      </c>
    </row>
    <row r="71" spans="2:45" ht="42.75" x14ac:dyDescent="0.35">
      <c r="B71" s="133" t="s">
        <v>451</v>
      </c>
      <c r="C71" s="46" t="s">
        <v>452</v>
      </c>
      <c r="D71" s="29" t="s">
        <v>194</v>
      </c>
      <c r="E71" s="57" t="s">
        <v>453</v>
      </c>
      <c r="F71" s="57" t="s">
        <v>454</v>
      </c>
      <c r="G71" s="56" t="s">
        <v>455</v>
      </c>
      <c r="H71" s="56"/>
      <c r="I71" s="56"/>
      <c r="J71" s="56"/>
      <c r="O71" s="68" t="s">
        <v>456</v>
      </c>
      <c r="P71" s="68"/>
      <c r="Q71" s="68"/>
      <c r="R71" s="68"/>
      <c r="W71" s="45" t="str">
        <f>"skillvideo/skillvideo_"&amp;B71&amp;".mp4"</f>
        <v>skillvideo/skillvideo_201502.mp4</v>
      </c>
      <c r="X71" s="45" t="str">
        <f t="shared" si="0"/>
        <v>201502</v>
      </c>
      <c r="Y71" s="29" t="s">
        <v>35</v>
      </c>
      <c r="AA71" s="45" t="s">
        <v>437</v>
      </c>
      <c r="AB71" s="29" t="s">
        <v>187</v>
      </c>
      <c r="AC71" s="29" t="s">
        <v>443</v>
      </c>
      <c r="AE71" s="29" t="s">
        <v>19</v>
      </c>
      <c r="AF71" s="29" t="s">
        <v>220</v>
      </c>
      <c r="AG71" s="29" t="s">
        <v>19</v>
      </c>
      <c r="AH71" s="29" t="s">
        <v>19</v>
      </c>
      <c r="AI71" s="29" t="s">
        <v>225</v>
      </c>
      <c r="AS71" s="29" t="s">
        <v>32</v>
      </c>
    </row>
    <row r="72" spans="2:45" x14ac:dyDescent="0.35">
      <c r="B72" s="45" t="s">
        <v>457</v>
      </c>
      <c r="C72" s="46" t="s">
        <v>194</v>
      </c>
      <c r="D72" s="29" t="s">
        <v>194</v>
      </c>
      <c r="F72" s="57" t="s">
        <v>194</v>
      </c>
      <c r="G72" s="56"/>
      <c r="H72" s="56"/>
      <c r="I72" s="56"/>
      <c r="J72" s="56"/>
      <c r="O72" s="68"/>
      <c r="P72" s="68"/>
      <c r="Q72" s="68"/>
      <c r="R72" s="68"/>
      <c r="X72" s="45" t="str">
        <f t="shared" si="0"/>
        <v>201503</v>
      </c>
      <c r="Y72" s="29" t="s">
        <v>220</v>
      </c>
      <c r="AA72" s="45" t="s">
        <v>437</v>
      </c>
      <c r="AB72" s="29" t="s">
        <v>187</v>
      </c>
    </row>
    <row r="73" spans="2:45" ht="42.75" x14ac:dyDescent="0.35">
      <c r="B73" s="45" t="s">
        <v>458</v>
      </c>
      <c r="C73" s="46" t="s">
        <v>194</v>
      </c>
      <c r="D73" s="29" t="s">
        <v>194</v>
      </c>
      <c r="F73" s="57" t="s">
        <v>1108</v>
      </c>
      <c r="G73" s="56"/>
      <c r="H73" s="56"/>
      <c r="I73" s="56"/>
      <c r="J73" s="56"/>
      <c r="O73" s="68"/>
      <c r="P73" s="68"/>
      <c r="Q73" s="68"/>
      <c r="R73" s="68"/>
      <c r="X73" s="45">
        <v>2015</v>
      </c>
      <c r="Y73" s="29" t="s">
        <v>19</v>
      </c>
      <c r="AA73" s="45" t="s">
        <v>458</v>
      </c>
      <c r="AB73" s="29" t="s">
        <v>187</v>
      </c>
    </row>
    <row r="74" spans="2:45" ht="42.75" x14ac:dyDescent="0.35">
      <c r="B74" s="45" t="s">
        <v>459</v>
      </c>
      <c r="C74" s="46" t="s">
        <v>194</v>
      </c>
      <c r="D74" s="29" t="s">
        <v>194</v>
      </c>
      <c r="F74" s="57" t="s">
        <v>1109</v>
      </c>
      <c r="G74" s="56"/>
      <c r="H74" s="56"/>
      <c r="I74" s="56"/>
      <c r="J74" s="56"/>
      <c r="O74" s="68"/>
      <c r="P74" s="68"/>
      <c r="Q74" s="68"/>
      <c r="R74" s="68"/>
      <c r="X74" s="45">
        <v>201501</v>
      </c>
      <c r="Y74" s="29" t="s">
        <v>32</v>
      </c>
      <c r="AA74" s="45" t="s">
        <v>458</v>
      </c>
      <c r="AB74" s="29" t="s">
        <v>187</v>
      </c>
      <c r="AG74" s="29" t="s">
        <v>19</v>
      </c>
      <c r="AH74" s="29" t="s">
        <v>1111</v>
      </c>
      <c r="AI74" s="29" t="s">
        <v>1112</v>
      </c>
    </row>
    <row r="75" spans="2:45" ht="71.25" x14ac:dyDescent="0.35">
      <c r="B75" s="45" t="s">
        <v>460</v>
      </c>
      <c r="C75" s="46" t="s">
        <v>194</v>
      </c>
      <c r="D75" s="29" t="s">
        <v>194</v>
      </c>
      <c r="F75" s="57" t="s">
        <v>1110</v>
      </c>
      <c r="G75" s="56"/>
      <c r="H75" s="56"/>
      <c r="I75" s="56"/>
      <c r="J75" s="56"/>
      <c r="O75" s="68"/>
      <c r="P75" s="68"/>
      <c r="Q75" s="68"/>
      <c r="R75" s="68"/>
      <c r="X75" s="45">
        <v>201502</v>
      </c>
      <c r="Y75" s="29" t="s">
        <v>35</v>
      </c>
      <c r="AA75" s="45" t="s">
        <v>458</v>
      </c>
      <c r="AB75" s="29" t="s">
        <v>187</v>
      </c>
      <c r="AE75" s="29" t="s">
        <v>19</v>
      </c>
      <c r="AF75" s="29" t="s">
        <v>220</v>
      </c>
      <c r="AG75" s="29" t="s">
        <v>19</v>
      </c>
      <c r="AH75" s="29" t="s">
        <v>19</v>
      </c>
      <c r="AI75" s="29" t="s">
        <v>225</v>
      </c>
      <c r="AK75" s="29" t="s">
        <v>1113</v>
      </c>
      <c r="AL75" s="29" t="s">
        <v>1114</v>
      </c>
    </row>
    <row r="76" spans="2:45" x14ac:dyDescent="0.35">
      <c r="B76" s="45" t="s">
        <v>461</v>
      </c>
      <c r="C76" s="46" t="s">
        <v>194</v>
      </c>
      <c r="D76" s="29" t="s">
        <v>194</v>
      </c>
      <c r="F76" s="57" t="s">
        <v>194</v>
      </c>
      <c r="G76" s="56"/>
      <c r="H76" s="56"/>
      <c r="I76" s="56"/>
      <c r="J76" s="56"/>
      <c r="O76" s="68"/>
      <c r="P76" s="68"/>
      <c r="Q76" s="68"/>
      <c r="R76" s="68"/>
      <c r="X76" s="45" t="str">
        <f t="shared" ref="X76:X139" si="3">B76</f>
        <v>201603</v>
      </c>
      <c r="Y76" s="29" t="s">
        <v>220</v>
      </c>
      <c r="AA76" s="45" t="s">
        <v>458</v>
      </c>
      <c r="AB76" s="29" t="s">
        <v>187</v>
      </c>
    </row>
    <row r="77" spans="2:45" x14ac:dyDescent="0.35">
      <c r="B77" s="45" t="s">
        <v>462</v>
      </c>
      <c r="C77" s="46" t="s">
        <v>194</v>
      </c>
      <c r="D77" s="29" t="s">
        <v>194</v>
      </c>
      <c r="F77" s="57" t="s">
        <v>194</v>
      </c>
      <c r="G77" s="56"/>
      <c r="H77" s="56"/>
      <c r="I77" s="56"/>
      <c r="J77" s="56"/>
      <c r="O77" s="68"/>
      <c r="P77" s="68"/>
      <c r="Q77" s="68"/>
      <c r="R77" s="68"/>
      <c r="X77" s="45" t="str">
        <f t="shared" si="3"/>
        <v>2017</v>
      </c>
      <c r="Y77" s="29" t="s">
        <v>19</v>
      </c>
      <c r="AA77" s="45" t="s">
        <v>462</v>
      </c>
      <c r="AB77" s="29" t="s">
        <v>187</v>
      </c>
    </row>
    <row r="78" spans="2:45" x14ac:dyDescent="0.35">
      <c r="B78" s="45" t="s">
        <v>463</v>
      </c>
      <c r="C78" s="46" t="s">
        <v>194</v>
      </c>
      <c r="D78" s="29" t="s">
        <v>194</v>
      </c>
      <c r="F78" s="57" t="s">
        <v>194</v>
      </c>
      <c r="G78" s="56"/>
      <c r="H78" s="56"/>
      <c r="I78" s="56"/>
      <c r="J78" s="56"/>
      <c r="O78" s="68"/>
      <c r="P78" s="68"/>
      <c r="Q78" s="68"/>
      <c r="R78" s="68"/>
      <c r="X78" s="45" t="str">
        <f t="shared" si="3"/>
        <v>201701</v>
      </c>
      <c r="Y78" s="29" t="s">
        <v>32</v>
      </c>
      <c r="AA78" s="45" t="s">
        <v>462</v>
      </c>
      <c r="AB78" s="29" t="s">
        <v>187</v>
      </c>
      <c r="AG78" s="29" t="s">
        <v>19</v>
      </c>
      <c r="AH78" s="29" t="s">
        <v>35</v>
      </c>
      <c r="AI78" s="29" t="s">
        <v>189</v>
      </c>
    </row>
    <row r="79" spans="2:45" x14ac:dyDescent="0.35">
      <c r="B79" s="45" t="s">
        <v>464</v>
      </c>
      <c r="C79" s="46" t="s">
        <v>194</v>
      </c>
      <c r="D79" s="29" t="s">
        <v>194</v>
      </c>
      <c r="F79" s="57" t="s">
        <v>194</v>
      </c>
      <c r="G79" s="56"/>
      <c r="H79" s="56"/>
      <c r="I79" s="56"/>
      <c r="J79" s="56"/>
      <c r="O79" s="68"/>
      <c r="P79" s="68"/>
      <c r="Q79" s="68"/>
      <c r="R79" s="68"/>
      <c r="X79" s="45" t="str">
        <f t="shared" si="3"/>
        <v>201702</v>
      </c>
      <c r="Y79" s="29" t="s">
        <v>35</v>
      </c>
      <c r="AA79" s="45" t="s">
        <v>462</v>
      </c>
      <c r="AB79" s="29" t="s">
        <v>187</v>
      </c>
      <c r="AF79" s="29" t="s">
        <v>220</v>
      </c>
      <c r="AI79" s="29" t="s">
        <v>225</v>
      </c>
    </row>
    <row r="80" spans="2:45" x14ac:dyDescent="0.35">
      <c r="B80" s="45" t="s">
        <v>465</v>
      </c>
      <c r="C80" s="46" t="s">
        <v>194</v>
      </c>
      <c r="D80" s="29" t="s">
        <v>194</v>
      </c>
      <c r="F80" s="57" t="s">
        <v>194</v>
      </c>
      <c r="G80" s="56"/>
      <c r="H80" s="56"/>
      <c r="I80" s="56"/>
      <c r="J80" s="56"/>
      <c r="O80" s="68"/>
      <c r="P80" s="68"/>
      <c r="Q80" s="68"/>
      <c r="R80" s="68"/>
      <c r="X80" s="45" t="str">
        <f t="shared" si="3"/>
        <v>201703</v>
      </c>
      <c r="Y80" s="29" t="s">
        <v>220</v>
      </c>
      <c r="AA80" s="45" t="s">
        <v>462</v>
      </c>
      <c r="AB80" s="29" t="s">
        <v>187</v>
      </c>
    </row>
    <row r="81" spans="1:44" ht="85.5" x14ac:dyDescent="0.35">
      <c r="B81" s="45" t="s">
        <v>466</v>
      </c>
      <c r="C81" s="46" t="s">
        <v>467</v>
      </c>
      <c r="D81" s="29" t="s">
        <v>194</v>
      </c>
      <c r="E81" s="46" t="s">
        <v>468</v>
      </c>
      <c r="F81" s="57" t="s">
        <v>469</v>
      </c>
      <c r="G81" s="58" t="s">
        <v>470</v>
      </c>
      <c r="H81" s="58" t="s">
        <v>471</v>
      </c>
      <c r="I81" s="58" t="s">
        <v>472</v>
      </c>
      <c r="J81" s="56"/>
      <c r="O81" s="68" t="s">
        <v>238</v>
      </c>
      <c r="P81" s="68" t="s">
        <v>239</v>
      </c>
      <c r="Q81" s="68" t="s">
        <v>240</v>
      </c>
      <c r="R81" s="68"/>
      <c r="W81" s="45" t="str">
        <f>"skillvideo/skillvideo_"&amp;B81&amp;".mp4"</f>
        <v>skillvideo/skillvideo_2018.mp4</v>
      </c>
      <c r="X81" s="45" t="str">
        <f t="shared" si="3"/>
        <v>2018</v>
      </c>
      <c r="Y81" s="29" t="s">
        <v>19</v>
      </c>
      <c r="AA81" s="45" t="s">
        <v>466</v>
      </c>
      <c r="AB81" s="29" t="s">
        <v>187</v>
      </c>
      <c r="AR81" s="29" t="s">
        <v>202</v>
      </c>
    </row>
    <row r="82" spans="1:44" ht="71.25" x14ac:dyDescent="0.35">
      <c r="B82" s="45" t="s">
        <v>473</v>
      </c>
      <c r="C82" s="46" t="s">
        <v>474</v>
      </c>
      <c r="D82" s="29" t="s">
        <v>194</v>
      </c>
      <c r="E82" s="46" t="s">
        <v>475</v>
      </c>
      <c r="F82" s="57" t="s">
        <v>476</v>
      </c>
      <c r="G82" s="58" t="s">
        <v>477</v>
      </c>
      <c r="H82" s="58" t="s">
        <v>478</v>
      </c>
      <c r="I82" s="56"/>
      <c r="J82" s="56"/>
      <c r="O82" s="68" t="s">
        <v>479</v>
      </c>
      <c r="P82" s="68" t="s">
        <v>480</v>
      </c>
      <c r="Q82" s="68"/>
      <c r="R82" s="68"/>
      <c r="W82" s="45" t="str">
        <f>"skillvideo/skillvideo_"&amp;B82&amp;".mp4"</f>
        <v>skillvideo/skillvideo_201801.mp4</v>
      </c>
      <c r="X82" s="45" t="str">
        <f t="shared" si="3"/>
        <v>201801</v>
      </c>
      <c r="Y82" s="29" t="s">
        <v>32</v>
      </c>
      <c r="AA82" s="45" t="s">
        <v>466</v>
      </c>
      <c r="AB82" s="29" t="s">
        <v>187</v>
      </c>
      <c r="AF82" s="29" t="s">
        <v>431</v>
      </c>
      <c r="AG82" s="29" t="s">
        <v>19</v>
      </c>
      <c r="AH82" s="29" t="s">
        <v>19</v>
      </c>
      <c r="AI82" s="29" t="s">
        <v>35</v>
      </c>
      <c r="AP82" s="45" t="s">
        <v>481</v>
      </c>
      <c r="AQ82" s="29" t="s">
        <v>19</v>
      </c>
    </row>
    <row r="83" spans="1:44" ht="85.5" x14ac:dyDescent="0.35">
      <c r="B83" s="45" t="s">
        <v>482</v>
      </c>
      <c r="C83" s="46" t="s">
        <v>483</v>
      </c>
      <c r="D83" s="29" t="s">
        <v>194</v>
      </c>
      <c r="E83" s="46" t="s">
        <v>484</v>
      </c>
      <c r="F83" s="57" t="s">
        <v>485</v>
      </c>
      <c r="G83" s="58" t="s">
        <v>486</v>
      </c>
      <c r="H83" s="58" t="s">
        <v>487</v>
      </c>
      <c r="I83" s="56"/>
      <c r="J83" s="56"/>
      <c r="O83" s="68" t="s">
        <v>488</v>
      </c>
      <c r="P83" s="68" t="s">
        <v>489</v>
      </c>
      <c r="Q83" s="68"/>
      <c r="R83" s="68"/>
      <c r="W83" s="45" t="str">
        <f>"skillvideo/skillvideo_"&amp;B83&amp;".mp4"</f>
        <v>skillvideo/skillvideo_201802.mp4</v>
      </c>
      <c r="X83" s="45" t="str">
        <f t="shared" si="3"/>
        <v>201802</v>
      </c>
      <c r="Y83" s="29" t="s">
        <v>35</v>
      </c>
      <c r="AA83" s="45" t="s">
        <v>466</v>
      </c>
      <c r="AB83" s="29" t="s">
        <v>187</v>
      </c>
      <c r="AC83" s="29" t="s">
        <v>490</v>
      </c>
      <c r="AF83" s="29" t="s">
        <v>431</v>
      </c>
      <c r="AG83" s="29" t="s">
        <v>19</v>
      </c>
      <c r="AH83" s="29" t="s">
        <v>19</v>
      </c>
      <c r="AI83" s="29" t="s">
        <v>491</v>
      </c>
    </row>
    <row r="84" spans="1:44" ht="71.25" x14ac:dyDescent="0.35">
      <c r="B84" s="45" t="s">
        <v>492</v>
      </c>
      <c r="C84" s="46" t="s">
        <v>493</v>
      </c>
      <c r="D84" s="29" t="s">
        <v>194</v>
      </c>
      <c r="E84" s="46" t="s">
        <v>494</v>
      </c>
      <c r="F84" s="46" t="s">
        <v>494</v>
      </c>
      <c r="G84" s="56"/>
      <c r="H84" s="56"/>
      <c r="I84" s="56"/>
      <c r="J84" s="56"/>
      <c r="O84" s="68"/>
      <c r="P84" s="68"/>
      <c r="Q84" s="68"/>
      <c r="R84" s="68"/>
      <c r="X84" s="45">
        <v>201802</v>
      </c>
      <c r="Y84" s="29" t="s">
        <v>220</v>
      </c>
      <c r="AA84" s="45" t="s">
        <v>466</v>
      </c>
      <c r="AB84" s="29" t="s">
        <v>187</v>
      </c>
      <c r="AK84" s="40" t="s">
        <v>221</v>
      </c>
    </row>
    <row r="85" spans="1:44" ht="142.5" x14ac:dyDescent="0.35">
      <c r="A85" s="142"/>
      <c r="B85" s="143" t="s">
        <v>495</v>
      </c>
      <c r="C85" s="144" t="s">
        <v>1158</v>
      </c>
      <c r="D85" s="142" t="s">
        <v>496</v>
      </c>
      <c r="E85" s="144" t="s">
        <v>1160</v>
      </c>
      <c r="F85" s="145" t="s">
        <v>1161</v>
      </c>
      <c r="G85" s="56"/>
      <c r="H85" s="56"/>
      <c r="I85" s="56"/>
      <c r="J85" s="56"/>
      <c r="O85" s="68" t="s">
        <v>238</v>
      </c>
      <c r="P85" s="68" t="s">
        <v>239</v>
      </c>
      <c r="Q85" s="68" t="s">
        <v>240</v>
      </c>
      <c r="R85" s="68" t="s">
        <v>241</v>
      </c>
      <c r="S85" s="68" t="s">
        <v>497</v>
      </c>
      <c r="X85" s="45">
        <v>2004</v>
      </c>
      <c r="Y85" s="29" t="s">
        <v>19</v>
      </c>
      <c r="AA85" s="45" t="s">
        <v>495</v>
      </c>
      <c r="AB85" s="29" t="s">
        <v>187</v>
      </c>
    </row>
    <row r="86" spans="1:44" ht="85.5" x14ac:dyDescent="0.35">
      <c r="A86" s="142"/>
      <c r="B86" s="143" t="s">
        <v>498</v>
      </c>
      <c r="C86" s="144" t="s">
        <v>1162</v>
      </c>
      <c r="D86" s="142" t="s">
        <v>1159</v>
      </c>
      <c r="E86" s="144" t="s">
        <v>1163</v>
      </c>
      <c r="F86" s="145" t="s">
        <v>1164</v>
      </c>
      <c r="G86" s="56"/>
      <c r="H86" s="56"/>
      <c r="I86" s="56"/>
      <c r="J86" s="56"/>
      <c r="O86" s="68" t="s">
        <v>499</v>
      </c>
      <c r="P86" s="68" t="s">
        <v>500</v>
      </c>
      <c r="Q86" s="68"/>
      <c r="R86" s="68"/>
      <c r="X86" s="45">
        <v>200401</v>
      </c>
      <c r="Y86" s="29" t="s">
        <v>32</v>
      </c>
      <c r="AA86" s="45" t="s">
        <v>495</v>
      </c>
      <c r="AB86" s="29" t="s">
        <v>187</v>
      </c>
      <c r="AG86" s="29" t="s">
        <v>19</v>
      </c>
      <c r="AH86" s="29" t="s">
        <v>35</v>
      </c>
      <c r="AI86" s="29" t="s">
        <v>189</v>
      </c>
      <c r="AP86" s="29" t="s">
        <v>501</v>
      </c>
      <c r="AQ86" s="29" t="s">
        <v>19</v>
      </c>
    </row>
    <row r="87" spans="1:44" ht="71.25" x14ac:dyDescent="0.35">
      <c r="A87" s="142"/>
      <c r="B87" s="143" t="s">
        <v>502</v>
      </c>
      <c r="C87" s="144" t="s">
        <v>1165</v>
      </c>
      <c r="D87" s="142" t="s">
        <v>503</v>
      </c>
      <c r="E87" s="144" t="s">
        <v>1166</v>
      </c>
      <c r="F87" s="145" t="s">
        <v>1167</v>
      </c>
      <c r="G87" s="56"/>
      <c r="H87" s="56"/>
      <c r="I87" s="56"/>
      <c r="J87" s="56"/>
      <c r="O87" s="68" t="s">
        <v>504</v>
      </c>
      <c r="P87" s="68" t="s">
        <v>505</v>
      </c>
      <c r="Q87" s="68" t="s">
        <v>506</v>
      </c>
      <c r="R87" s="68"/>
      <c r="X87" s="45">
        <v>200402</v>
      </c>
      <c r="Y87" s="29" t="s">
        <v>35</v>
      </c>
      <c r="AA87" s="45" t="s">
        <v>495</v>
      </c>
      <c r="AB87" s="29" t="s">
        <v>187</v>
      </c>
      <c r="AE87" s="29" t="s">
        <v>1157</v>
      </c>
      <c r="AF87" s="29" t="s">
        <v>1157</v>
      </c>
      <c r="AG87" s="29" t="s">
        <v>19</v>
      </c>
      <c r="AH87" s="29" t="s">
        <v>19</v>
      </c>
      <c r="AI87" s="29" t="s">
        <v>491</v>
      </c>
      <c r="AP87" s="45" t="s">
        <v>507</v>
      </c>
    </row>
    <row r="88" spans="1:44" x14ac:dyDescent="0.35">
      <c r="B88" s="140" t="s">
        <v>508</v>
      </c>
      <c r="C88" s="141" t="s">
        <v>194</v>
      </c>
      <c r="D88" s="29" t="s">
        <v>509</v>
      </c>
      <c r="F88" s="57" t="s">
        <v>194</v>
      </c>
      <c r="G88" s="56"/>
      <c r="H88" s="56"/>
      <c r="I88" s="56"/>
      <c r="J88" s="56"/>
      <c r="O88" s="68"/>
      <c r="P88" s="68"/>
      <c r="Q88" s="68"/>
      <c r="R88" s="68"/>
      <c r="X88" s="45">
        <v>200403</v>
      </c>
      <c r="Y88" s="29" t="s">
        <v>220</v>
      </c>
      <c r="AA88" s="45" t="s">
        <v>495</v>
      </c>
      <c r="AB88" s="29" t="s">
        <v>187</v>
      </c>
    </row>
    <row r="89" spans="1:44" ht="99.75" x14ac:dyDescent="0.35">
      <c r="B89" s="45" t="s">
        <v>510</v>
      </c>
      <c r="C89" s="46" t="s">
        <v>511</v>
      </c>
      <c r="D89" s="29" t="s">
        <v>194</v>
      </c>
      <c r="E89" s="57" t="s">
        <v>512</v>
      </c>
      <c r="F89" s="57" t="s">
        <v>513</v>
      </c>
      <c r="G89" s="58" t="s">
        <v>514</v>
      </c>
      <c r="H89" s="58" t="s">
        <v>515</v>
      </c>
      <c r="I89" s="56"/>
      <c r="J89" s="56"/>
      <c r="O89" s="68" t="s">
        <v>516</v>
      </c>
      <c r="P89" s="72" t="s">
        <v>517</v>
      </c>
      <c r="Q89" s="68"/>
      <c r="R89" s="68"/>
      <c r="W89" s="45" t="str">
        <f>"skillvideo/skillvideo_"&amp;B89&amp;".mp4"</f>
        <v>skillvideo/skillvideo_2020.mp4</v>
      </c>
      <c r="X89" s="45" t="str">
        <f t="shared" si="3"/>
        <v>2020</v>
      </c>
      <c r="Y89" s="29" t="s">
        <v>19</v>
      </c>
      <c r="AA89" s="45" t="s">
        <v>510</v>
      </c>
      <c r="AB89" s="29" t="s">
        <v>187</v>
      </c>
      <c r="AC89" s="29" t="s">
        <v>518</v>
      </c>
      <c r="AR89" s="29" t="s">
        <v>202</v>
      </c>
    </row>
    <row r="90" spans="1:44" ht="85.5" x14ac:dyDescent="0.35">
      <c r="B90" s="45" t="s">
        <v>519</v>
      </c>
      <c r="C90" s="46" t="s">
        <v>520</v>
      </c>
      <c r="D90" s="29" t="s">
        <v>194</v>
      </c>
      <c r="E90" s="57" t="s">
        <v>521</v>
      </c>
      <c r="F90" s="57" t="s">
        <v>522</v>
      </c>
      <c r="G90" s="58" t="s">
        <v>523</v>
      </c>
      <c r="H90" s="56"/>
      <c r="I90" s="56"/>
      <c r="J90" s="56"/>
      <c r="O90" s="68" t="s">
        <v>524</v>
      </c>
      <c r="P90" s="68"/>
      <c r="Q90" s="68"/>
      <c r="R90" s="68"/>
      <c r="W90" s="45" t="str">
        <f>"skillvideo/skillvideo_"&amp;B90&amp;".mp4"</f>
        <v>skillvideo/skillvideo_202001.mp4</v>
      </c>
      <c r="X90" s="45" t="str">
        <f t="shared" si="3"/>
        <v>202001</v>
      </c>
      <c r="Y90" s="29" t="s">
        <v>32</v>
      </c>
      <c r="AA90" s="45" t="s">
        <v>510</v>
      </c>
      <c r="AB90" s="29" t="s">
        <v>187</v>
      </c>
      <c r="AF90" s="29" t="s">
        <v>217</v>
      </c>
      <c r="AG90" s="29" t="s">
        <v>19</v>
      </c>
      <c r="AH90" s="29" t="s">
        <v>32</v>
      </c>
      <c r="AI90" s="29" t="s">
        <v>189</v>
      </c>
      <c r="AP90" s="45" t="s">
        <v>525</v>
      </c>
      <c r="AQ90" s="29" t="s">
        <v>19</v>
      </c>
    </row>
    <row r="91" spans="1:44" ht="85.5" x14ac:dyDescent="0.35">
      <c r="B91" s="45" t="s">
        <v>526</v>
      </c>
      <c r="C91" s="46" t="s">
        <v>527</v>
      </c>
      <c r="D91" s="29" t="s">
        <v>194</v>
      </c>
      <c r="E91" s="57" t="s">
        <v>528</v>
      </c>
      <c r="F91" s="57" t="s">
        <v>529</v>
      </c>
      <c r="G91" s="58" t="s">
        <v>530</v>
      </c>
      <c r="H91" s="56"/>
      <c r="I91" s="56"/>
      <c r="J91" s="56"/>
      <c r="O91" s="68" t="s">
        <v>531</v>
      </c>
      <c r="P91" s="68"/>
      <c r="Q91" s="68"/>
      <c r="R91" s="68"/>
      <c r="W91" s="45" t="str">
        <f>"skillvideo/skillvideo_"&amp;B91&amp;".mp4"</f>
        <v>skillvideo/skillvideo_202002.mp4</v>
      </c>
      <c r="X91" s="45" t="str">
        <f t="shared" si="3"/>
        <v>202002</v>
      </c>
      <c r="Y91" s="29" t="s">
        <v>35</v>
      </c>
      <c r="AA91" s="45" t="s">
        <v>510</v>
      </c>
      <c r="AB91" s="29" t="s">
        <v>187</v>
      </c>
      <c r="AC91" s="29" t="s">
        <v>518</v>
      </c>
      <c r="AF91" s="29" t="s">
        <v>431</v>
      </c>
      <c r="AG91" s="29" t="s">
        <v>19</v>
      </c>
      <c r="AH91" s="29" t="s">
        <v>19</v>
      </c>
      <c r="AI91" s="29" t="s">
        <v>189</v>
      </c>
      <c r="AP91" s="45">
        <v>2020</v>
      </c>
    </row>
    <row r="92" spans="1:44" s="40" customFormat="1" x14ac:dyDescent="0.35">
      <c r="B92" s="60" t="s">
        <v>532</v>
      </c>
      <c r="C92" s="61" t="s">
        <v>533</v>
      </c>
      <c r="D92" s="40" t="s">
        <v>194</v>
      </c>
      <c r="E92" s="61"/>
      <c r="F92" s="57" t="s">
        <v>194</v>
      </c>
      <c r="G92" s="56"/>
      <c r="H92" s="63"/>
      <c r="I92" s="63"/>
      <c r="J92" s="63"/>
      <c r="K92" s="69"/>
      <c r="L92" s="69"/>
      <c r="M92" s="69"/>
      <c r="N92" s="69"/>
      <c r="O92" s="73"/>
      <c r="P92" s="63"/>
      <c r="Q92" s="63"/>
      <c r="R92" s="63"/>
      <c r="S92" s="70"/>
      <c r="T92" s="70"/>
      <c r="U92" s="70"/>
      <c r="V92" s="70"/>
      <c r="W92" s="70"/>
      <c r="X92" s="60" t="str">
        <f t="shared" si="3"/>
        <v>202003</v>
      </c>
      <c r="Y92" s="40" t="s">
        <v>220</v>
      </c>
      <c r="Z92" s="40" t="s">
        <v>35</v>
      </c>
      <c r="AA92" s="60" t="s">
        <v>510</v>
      </c>
      <c r="AB92" s="40" t="s">
        <v>187</v>
      </c>
      <c r="AK92" s="40" t="s">
        <v>221</v>
      </c>
      <c r="AO92" s="61"/>
      <c r="AP92" s="60"/>
    </row>
    <row r="93" spans="1:44" ht="99.75" x14ac:dyDescent="0.35">
      <c r="B93" s="45" t="s">
        <v>534</v>
      </c>
      <c r="C93" s="46" t="s">
        <v>535</v>
      </c>
      <c r="D93" s="29" t="s">
        <v>536</v>
      </c>
      <c r="E93" s="46" t="s">
        <v>537</v>
      </c>
      <c r="F93" s="57" t="s">
        <v>538</v>
      </c>
      <c r="G93" s="58" t="s">
        <v>539</v>
      </c>
      <c r="H93" s="58" t="s">
        <v>540</v>
      </c>
      <c r="I93" s="58" t="s">
        <v>541</v>
      </c>
      <c r="J93" s="56"/>
      <c r="O93" s="68" t="s">
        <v>542</v>
      </c>
      <c r="P93" s="72" t="s">
        <v>543</v>
      </c>
      <c r="Q93" s="68" t="s">
        <v>544</v>
      </c>
      <c r="R93" s="68"/>
      <c r="X93" s="45" t="str">
        <f t="shared" si="3"/>
        <v>2021</v>
      </c>
      <c r="Y93" s="29" t="s">
        <v>19</v>
      </c>
      <c r="AA93" s="45" t="s">
        <v>534</v>
      </c>
      <c r="AB93" s="29" t="s">
        <v>187</v>
      </c>
      <c r="AC93" s="29" t="s">
        <v>545</v>
      </c>
    </row>
    <row r="94" spans="1:44" ht="99" x14ac:dyDescent="0.35">
      <c r="B94" s="45" t="s">
        <v>546</v>
      </c>
      <c r="C94" s="46" t="s">
        <v>547</v>
      </c>
      <c r="D94" s="29" t="s">
        <v>548</v>
      </c>
      <c r="E94" s="46" t="s">
        <v>549</v>
      </c>
      <c r="F94" s="57" t="s">
        <v>550</v>
      </c>
      <c r="G94" s="58" t="s">
        <v>551</v>
      </c>
      <c r="H94" s="56"/>
      <c r="I94" s="56"/>
      <c r="J94" s="56"/>
      <c r="O94" s="68" t="s">
        <v>552</v>
      </c>
      <c r="P94" s="68"/>
      <c r="Q94" s="68"/>
      <c r="R94" s="68"/>
      <c r="X94" s="45" t="str">
        <f t="shared" si="3"/>
        <v>202101</v>
      </c>
      <c r="Y94" s="29" t="s">
        <v>32</v>
      </c>
      <c r="AA94" s="45" t="s">
        <v>534</v>
      </c>
      <c r="AB94" s="29" t="s">
        <v>187</v>
      </c>
      <c r="AG94" s="29" t="s">
        <v>19</v>
      </c>
      <c r="AH94" s="29" t="s">
        <v>32</v>
      </c>
      <c r="AI94" s="29" t="s">
        <v>189</v>
      </c>
      <c r="AP94" s="130" t="s">
        <v>534</v>
      </c>
    </row>
    <row r="95" spans="1:44" ht="114" x14ac:dyDescent="0.35">
      <c r="B95" s="45" t="s">
        <v>553</v>
      </c>
      <c r="C95" s="46" t="s">
        <v>554</v>
      </c>
      <c r="D95" s="29" t="s">
        <v>555</v>
      </c>
      <c r="E95" s="46" t="s">
        <v>556</v>
      </c>
      <c r="F95" s="57" t="s">
        <v>557</v>
      </c>
      <c r="G95" s="58" t="s">
        <v>558</v>
      </c>
      <c r="H95" s="58" t="s">
        <v>559</v>
      </c>
      <c r="I95" s="56"/>
      <c r="J95" s="56"/>
      <c r="O95" s="68" t="s">
        <v>544</v>
      </c>
      <c r="P95" s="68" t="s">
        <v>560</v>
      </c>
      <c r="Q95" s="68"/>
      <c r="R95" s="68"/>
      <c r="X95" s="45" t="str">
        <f t="shared" si="3"/>
        <v>202102</v>
      </c>
      <c r="Y95" s="29" t="s">
        <v>35</v>
      </c>
      <c r="AA95" s="45" t="s">
        <v>534</v>
      </c>
      <c r="AB95" s="29" t="s">
        <v>187</v>
      </c>
      <c r="AC95" s="29" t="s">
        <v>561</v>
      </c>
      <c r="AG95" s="29" t="s">
        <v>19</v>
      </c>
      <c r="AH95" s="29" t="s">
        <v>19</v>
      </c>
      <c r="AI95" s="29" t="s">
        <v>225</v>
      </c>
    </row>
    <row r="96" spans="1:44" x14ac:dyDescent="0.35">
      <c r="B96" s="45" t="s">
        <v>562</v>
      </c>
      <c r="C96" s="46" t="s">
        <v>194</v>
      </c>
      <c r="D96" s="29" t="s">
        <v>194</v>
      </c>
      <c r="F96" s="57" t="s">
        <v>194</v>
      </c>
      <c r="G96" s="56"/>
      <c r="H96" s="56"/>
      <c r="I96" s="56"/>
      <c r="J96" s="56"/>
      <c r="O96" s="68"/>
      <c r="P96" s="68"/>
      <c r="Q96" s="68"/>
      <c r="R96" s="68"/>
      <c r="X96" s="45" t="str">
        <f t="shared" si="3"/>
        <v>202103</v>
      </c>
      <c r="Y96" s="29" t="s">
        <v>220</v>
      </c>
      <c r="AA96" s="45" t="s">
        <v>534</v>
      </c>
      <c r="AB96" s="29" t="s">
        <v>187</v>
      </c>
    </row>
    <row r="97" spans="2:46" ht="114" x14ac:dyDescent="0.35">
      <c r="B97" s="45">
        <v>2022</v>
      </c>
      <c r="C97" s="46" t="s">
        <v>563</v>
      </c>
      <c r="D97" s="29" t="s">
        <v>194</v>
      </c>
      <c r="E97" s="57" t="s">
        <v>564</v>
      </c>
      <c r="F97" s="57" t="s">
        <v>565</v>
      </c>
      <c r="G97" s="58" t="s">
        <v>566</v>
      </c>
      <c r="H97" s="58" t="s">
        <v>567</v>
      </c>
      <c r="I97" s="56"/>
      <c r="J97" s="56"/>
      <c r="O97" s="68" t="s">
        <v>568</v>
      </c>
      <c r="P97" s="68" t="s">
        <v>569</v>
      </c>
      <c r="Q97" s="68"/>
      <c r="R97" s="68"/>
      <c r="W97" s="45" t="str">
        <f>"skillvideo/skillvideo_"&amp;B97&amp;".mp4"</f>
        <v>skillvideo/skillvideo_2022.mp4</v>
      </c>
      <c r="X97" s="45">
        <f t="shared" si="3"/>
        <v>2022</v>
      </c>
      <c r="Y97" s="29" t="s">
        <v>19</v>
      </c>
      <c r="AA97" s="45" t="s">
        <v>570</v>
      </c>
      <c r="AB97" s="29" t="s">
        <v>187</v>
      </c>
      <c r="AC97" s="29" t="s">
        <v>571</v>
      </c>
      <c r="AK97" s="29" t="s">
        <v>572</v>
      </c>
      <c r="AR97" s="29" t="s">
        <v>19</v>
      </c>
      <c r="AS97" s="29" t="s">
        <v>19</v>
      </c>
      <c r="AT97" s="29" t="s">
        <v>314</v>
      </c>
    </row>
    <row r="98" spans="2:46" ht="156.75" x14ac:dyDescent="0.35">
      <c r="B98" s="45">
        <v>202201</v>
      </c>
      <c r="C98" s="46" t="s">
        <v>573</v>
      </c>
      <c r="D98" s="29" t="s">
        <v>194</v>
      </c>
      <c r="E98" s="57" t="s">
        <v>574</v>
      </c>
      <c r="F98" s="57" t="s">
        <v>575</v>
      </c>
      <c r="G98" s="58" t="s">
        <v>576</v>
      </c>
      <c r="H98" s="56"/>
      <c r="I98" s="56"/>
      <c r="J98" s="56"/>
      <c r="O98" s="68" t="s">
        <v>577</v>
      </c>
      <c r="P98" s="68"/>
      <c r="Q98" s="68"/>
      <c r="R98" s="68"/>
      <c r="W98" s="45" t="str">
        <f>"skillvideo/skillvideo_"&amp;B98&amp;".mp4"</f>
        <v>skillvideo/skillvideo_202201.mp4</v>
      </c>
      <c r="X98" s="45">
        <f t="shared" si="3"/>
        <v>202201</v>
      </c>
      <c r="Y98" s="29" t="s">
        <v>32</v>
      </c>
      <c r="AA98" s="45" t="s">
        <v>570</v>
      </c>
      <c r="AB98" s="29" t="s">
        <v>187</v>
      </c>
      <c r="AF98" s="29" t="s">
        <v>217</v>
      </c>
      <c r="AG98" s="29" t="s">
        <v>19</v>
      </c>
      <c r="AH98" s="29" t="s">
        <v>32</v>
      </c>
      <c r="AI98" s="29" t="s">
        <v>189</v>
      </c>
      <c r="AP98" s="45" t="s">
        <v>578</v>
      </c>
      <c r="AQ98" s="29" t="s">
        <v>19</v>
      </c>
    </row>
    <row r="99" spans="2:46" ht="99.75" x14ac:dyDescent="0.35">
      <c r="B99" s="45">
        <v>202202</v>
      </c>
      <c r="C99" s="46" t="s">
        <v>579</v>
      </c>
      <c r="D99" s="29" t="s">
        <v>194</v>
      </c>
      <c r="E99" s="57" t="s">
        <v>580</v>
      </c>
      <c r="F99" s="57" t="s">
        <v>581</v>
      </c>
      <c r="G99" s="58" t="s">
        <v>582</v>
      </c>
      <c r="H99" s="58" t="s">
        <v>583</v>
      </c>
      <c r="I99" s="58" t="s">
        <v>584</v>
      </c>
      <c r="J99" s="56"/>
      <c r="O99" s="68" t="s">
        <v>585</v>
      </c>
      <c r="P99" s="68" t="s">
        <v>586</v>
      </c>
      <c r="Q99" s="68" t="s">
        <v>1168</v>
      </c>
      <c r="R99" s="68"/>
      <c r="W99" s="45" t="str">
        <f>"skillvideo/skillvideo_"&amp;B99&amp;".mp4"</f>
        <v>skillvideo/skillvideo_202202.mp4</v>
      </c>
      <c r="X99" s="45">
        <f t="shared" si="3"/>
        <v>202202</v>
      </c>
      <c r="Y99" s="29" t="s">
        <v>35</v>
      </c>
      <c r="AA99" s="45" t="s">
        <v>570</v>
      </c>
      <c r="AB99" s="29" t="s">
        <v>187</v>
      </c>
      <c r="AC99" s="29" t="s">
        <v>571</v>
      </c>
      <c r="AF99" s="29" t="s">
        <v>431</v>
      </c>
      <c r="AG99" s="29" t="s">
        <v>19</v>
      </c>
      <c r="AH99" s="29" t="s">
        <v>19</v>
      </c>
      <c r="AI99" s="29" t="s">
        <v>209</v>
      </c>
      <c r="AP99" s="45">
        <v>2022</v>
      </c>
    </row>
    <row r="100" spans="2:46" x14ac:dyDescent="0.35">
      <c r="B100" s="45" t="s">
        <v>587</v>
      </c>
      <c r="C100" s="46" t="s">
        <v>588</v>
      </c>
      <c r="D100" s="29" t="s">
        <v>194</v>
      </c>
      <c r="F100" s="57" t="s">
        <v>194</v>
      </c>
      <c r="G100" s="56"/>
      <c r="H100" s="56"/>
      <c r="I100" s="56"/>
      <c r="J100" s="56"/>
      <c r="O100" s="68"/>
      <c r="P100" s="68"/>
      <c r="Q100" s="68"/>
      <c r="R100" s="68"/>
      <c r="X100" s="45" t="str">
        <f t="shared" si="3"/>
        <v>202203</v>
      </c>
      <c r="Y100" s="29" t="s">
        <v>220</v>
      </c>
      <c r="Z100" s="29" t="s">
        <v>35</v>
      </c>
      <c r="AA100" s="45" t="s">
        <v>570</v>
      </c>
      <c r="AB100" s="29" t="s">
        <v>187</v>
      </c>
      <c r="AK100" s="40" t="s">
        <v>221</v>
      </c>
    </row>
    <row r="101" spans="2:46" ht="85.5" x14ac:dyDescent="0.35">
      <c r="B101" s="45" t="s">
        <v>589</v>
      </c>
      <c r="C101" s="29" t="s">
        <v>590</v>
      </c>
      <c r="D101" s="29" t="s">
        <v>194</v>
      </c>
      <c r="E101" s="46" t="s">
        <v>591</v>
      </c>
      <c r="F101" s="57" t="s">
        <v>592</v>
      </c>
      <c r="G101" s="58" t="s">
        <v>593</v>
      </c>
      <c r="H101" s="58"/>
      <c r="I101" s="58"/>
      <c r="J101" s="58"/>
      <c r="O101" s="68" t="s">
        <v>594</v>
      </c>
      <c r="P101" s="68"/>
      <c r="Q101" s="68"/>
      <c r="R101" s="68"/>
      <c r="W101" s="45" t="str">
        <f>"skillvideo/skillvideo_"&amp;B101&amp;".mp4"</f>
        <v>skillvideo/skillvideo_2023.mp4</v>
      </c>
      <c r="X101" s="45" t="str">
        <f t="shared" si="3"/>
        <v>2023</v>
      </c>
      <c r="Y101" s="29" t="s">
        <v>19</v>
      </c>
      <c r="AA101" s="45" t="s">
        <v>589</v>
      </c>
      <c r="AB101" s="29" t="s">
        <v>187</v>
      </c>
      <c r="AC101" s="29" t="s">
        <v>220</v>
      </c>
      <c r="AR101" s="29" t="s">
        <v>202</v>
      </c>
    </row>
    <row r="102" spans="2:46" ht="99.75" x14ac:dyDescent="0.35">
      <c r="B102" s="45" t="s">
        <v>595</v>
      </c>
      <c r="C102" s="29" t="s">
        <v>596</v>
      </c>
      <c r="D102" s="29" t="s">
        <v>194</v>
      </c>
      <c r="E102" s="46" t="s">
        <v>597</v>
      </c>
      <c r="F102" s="57" t="s">
        <v>598</v>
      </c>
      <c r="G102" s="58" t="s">
        <v>599</v>
      </c>
      <c r="H102" s="56"/>
      <c r="I102" s="56"/>
      <c r="J102" s="56"/>
      <c r="O102" s="68" t="s">
        <v>600</v>
      </c>
      <c r="P102" s="68"/>
      <c r="Q102" s="68"/>
      <c r="R102" s="68"/>
      <c r="W102" s="45" t="str">
        <f>"skillvideo/skillvideo_"&amp;B102&amp;".mp4"</f>
        <v>skillvideo/skillvideo_202301.mp4</v>
      </c>
      <c r="X102" s="45" t="str">
        <f t="shared" si="3"/>
        <v>202301</v>
      </c>
      <c r="Y102" s="29" t="s">
        <v>32</v>
      </c>
      <c r="AA102" s="45" t="s">
        <v>589</v>
      </c>
      <c r="AB102" s="29" t="s">
        <v>187</v>
      </c>
      <c r="AC102" s="29" t="s">
        <v>601</v>
      </c>
      <c r="AG102" s="29" t="s">
        <v>19</v>
      </c>
      <c r="AH102" s="29" t="s">
        <v>32</v>
      </c>
      <c r="AI102" s="29" t="s">
        <v>602</v>
      </c>
      <c r="AP102" s="45" t="s">
        <v>603</v>
      </c>
      <c r="AQ102" s="29" t="s">
        <v>19</v>
      </c>
    </row>
    <row r="103" spans="2:46" ht="57" x14ac:dyDescent="0.35">
      <c r="B103" s="45" t="s">
        <v>604</v>
      </c>
      <c r="C103" s="29" t="s">
        <v>605</v>
      </c>
      <c r="D103" s="29" t="s">
        <v>194</v>
      </c>
      <c r="E103" s="46" t="s">
        <v>606</v>
      </c>
      <c r="F103" s="57" t="s">
        <v>607</v>
      </c>
      <c r="G103" s="58" t="s">
        <v>608</v>
      </c>
      <c r="H103" s="56"/>
      <c r="I103" s="56"/>
      <c r="J103" s="56"/>
      <c r="O103" s="68" t="s">
        <v>609</v>
      </c>
      <c r="P103" s="68"/>
      <c r="Q103" s="68"/>
      <c r="R103" s="68"/>
      <c r="W103" s="45" t="str">
        <f>"skillvideo/skillvideo_"&amp;B103&amp;".mp4"</f>
        <v>skillvideo/skillvideo_202302.mp4</v>
      </c>
      <c r="X103" s="45" t="str">
        <f t="shared" si="3"/>
        <v>202302</v>
      </c>
      <c r="Y103" s="29" t="s">
        <v>35</v>
      </c>
      <c r="AA103" s="45" t="s">
        <v>589</v>
      </c>
      <c r="AB103" s="29" t="s">
        <v>187</v>
      </c>
      <c r="AC103" s="29" t="s">
        <v>610</v>
      </c>
      <c r="AF103" s="29" t="s">
        <v>220</v>
      </c>
      <c r="AG103" s="29" t="s">
        <v>19</v>
      </c>
      <c r="AH103" s="29" t="s">
        <v>19</v>
      </c>
      <c r="AI103" s="29" t="s">
        <v>225</v>
      </c>
      <c r="AP103" s="45">
        <v>2023</v>
      </c>
    </row>
    <row r="104" spans="2:46" x14ac:dyDescent="0.35">
      <c r="B104" s="45" t="s">
        <v>611</v>
      </c>
      <c r="C104" s="46" t="s">
        <v>194</v>
      </c>
      <c r="D104" s="29" t="s">
        <v>194</v>
      </c>
      <c r="F104" s="57" t="s">
        <v>194</v>
      </c>
      <c r="G104" s="56"/>
      <c r="H104" s="56"/>
      <c r="I104" s="56"/>
      <c r="J104" s="56"/>
      <c r="O104" s="68"/>
      <c r="P104" s="68"/>
      <c r="Q104" s="68"/>
      <c r="R104" s="68"/>
      <c r="X104" s="45" t="str">
        <f t="shared" si="3"/>
        <v>202303</v>
      </c>
      <c r="Y104" s="29" t="s">
        <v>220</v>
      </c>
      <c r="AA104" s="45" t="s">
        <v>589</v>
      </c>
      <c r="AB104" s="29" t="s">
        <v>187</v>
      </c>
    </row>
    <row r="105" spans="2:46" ht="99.75" x14ac:dyDescent="0.35">
      <c r="B105" s="45" t="s">
        <v>87</v>
      </c>
      <c r="C105" s="46" t="s">
        <v>612</v>
      </c>
      <c r="D105" s="29" t="s">
        <v>194</v>
      </c>
      <c r="E105" s="57" t="s">
        <v>613</v>
      </c>
      <c r="F105" s="57" t="s">
        <v>614</v>
      </c>
      <c r="G105" s="58" t="s">
        <v>615</v>
      </c>
      <c r="H105" s="58" t="s">
        <v>616</v>
      </c>
      <c r="I105" s="58"/>
      <c r="J105" s="56"/>
      <c r="O105" s="68" t="s">
        <v>238</v>
      </c>
      <c r="P105" s="68" t="s">
        <v>239</v>
      </c>
      <c r="Q105" s="68"/>
      <c r="R105" s="68"/>
      <c r="W105" s="45" t="str">
        <f>"skillvideo/skillvideo_"&amp;B105&amp;".mp4"</f>
        <v>skillvideo/skillvideo_2024.mp4</v>
      </c>
      <c r="X105" s="45" t="str">
        <f t="shared" si="3"/>
        <v>2024</v>
      </c>
      <c r="Y105" s="29" t="s">
        <v>19</v>
      </c>
      <c r="AA105" s="45" t="s">
        <v>87</v>
      </c>
      <c r="AB105" s="29" t="s">
        <v>187</v>
      </c>
      <c r="AC105" s="29" t="s">
        <v>617</v>
      </c>
      <c r="AR105" s="29" t="s">
        <v>242</v>
      </c>
    </row>
    <row r="106" spans="2:46" ht="71.25" x14ac:dyDescent="0.35">
      <c r="B106" s="45" t="s">
        <v>618</v>
      </c>
      <c r="C106" s="46" t="s">
        <v>619</v>
      </c>
      <c r="D106" s="29" t="s">
        <v>194</v>
      </c>
      <c r="E106" s="57" t="s">
        <v>620</v>
      </c>
      <c r="F106" s="57" t="s">
        <v>621</v>
      </c>
      <c r="G106" s="58" t="s">
        <v>622</v>
      </c>
      <c r="H106" s="58" t="s">
        <v>623</v>
      </c>
      <c r="I106" s="56"/>
      <c r="J106" s="56"/>
      <c r="O106" s="68" t="s">
        <v>624</v>
      </c>
      <c r="P106" s="68" t="s">
        <v>625</v>
      </c>
      <c r="Q106" s="68"/>
      <c r="R106" s="68"/>
      <c r="W106" s="45" t="str">
        <f>"skillvideo/skillvideo_"&amp;B106&amp;".mp4"</f>
        <v>skillvideo/skillvideo_202401.mp4</v>
      </c>
      <c r="X106" s="45" t="str">
        <f t="shared" si="3"/>
        <v>202401</v>
      </c>
      <c r="Y106" s="29" t="s">
        <v>32</v>
      </c>
      <c r="AA106" s="45" t="s">
        <v>87</v>
      </c>
      <c r="AB106" s="29" t="s">
        <v>187</v>
      </c>
      <c r="AF106" s="29" t="s">
        <v>217</v>
      </c>
      <c r="AG106" s="29" t="s">
        <v>19</v>
      </c>
      <c r="AH106" s="29" t="s">
        <v>35</v>
      </c>
      <c r="AI106" s="29" t="s">
        <v>249</v>
      </c>
      <c r="AP106" s="45" t="s">
        <v>626</v>
      </c>
      <c r="AQ106" s="29" t="s">
        <v>19</v>
      </c>
    </row>
    <row r="107" spans="2:46" ht="99.75" x14ac:dyDescent="0.35">
      <c r="B107" s="45" t="s">
        <v>627</v>
      </c>
      <c r="C107" s="46" t="s">
        <v>628</v>
      </c>
      <c r="D107" s="29" t="s">
        <v>194</v>
      </c>
      <c r="E107" s="57" t="s">
        <v>629</v>
      </c>
      <c r="F107" s="57" t="s">
        <v>630</v>
      </c>
      <c r="G107" s="58" t="s">
        <v>631</v>
      </c>
      <c r="H107" s="56"/>
      <c r="I107" s="56"/>
      <c r="J107" s="56"/>
      <c r="O107" s="68" t="s">
        <v>632</v>
      </c>
      <c r="P107" s="68"/>
      <c r="Q107" s="68"/>
      <c r="R107" s="68"/>
      <c r="W107" s="45" t="str">
        <f>"skillvideo/skillvideo_"&amp;B107&amp;".mp4"</f>
        <v>skillvideo/skillvideo_202402.mp4</v>
      </c>
      <c r="X107" s="45" t="str">
        <f t="shared" si="3"/>
        <v>202402</v>
      </c>
      <c r="Y107" s="29" t="s">
        <v>35</v>
      </c>
      <c r="AA107" s="45" t="s">
        <v>87</v>
      </c>
      <c r="AB107" s="29" t="s">
        <v>187</v>
      </c>
      <c r="AC107" s="29" t="s">
        <v>633</v>
      </c>
      <c r="AF107" s="29" t="s">
        <v>431</v>
      </c>
      <c r="AG107" s="29" t="s">
        <v>19</v>
      </c>
      <c r="AH107" s="29" t="s">
        <v>19</v>
      </c>
      <c r="AI107" s="29" t="s">
        <v>378</v>
      </c>
    </row>
    <row r="108" spans="2:46" s="40" customFormat="1" x14ac:dyDescent="0.35">
      <c r="B108" s="60" t="s">
        <v>634</v>
      </c>
      <c r="C108" s="61" t="s">
        <v>635</v>
      </c>
      <c r="D108" s="40" t="s">
        <v>194</v>
      </c>
      <c r="E108" s="61"/>
      <c r="F108" s="57" t="s">
        <v>194</v>
      </c>
      <c r="G108" s="56"/>
      <c r="H108" s="63"/>
      <c r="I108" s="63"/>
      <c r="J108" s="63"/>
      <c r="K108" s="69"/>
      <c r="L108" s="69"/>
      <c r="M108" s="69"/>
      <c r="N108" s="69"/>
      <c r="O108" s="63"/>
      <c r="P108" s="63"/>
      <c r="Q108" s="63"/>
      <c r="R108" s="63"/>
      <c r="S108" s="70"/>
      <c r="T108" s="70"/>
      <c r="U108" s="70"/>
      <c r="V108" s="70"/>
      <c r="W108" s="70"/>
      <c r="X108" s="60" t="str">
        <f t="shared" si="3"/>
        <v>202403</v>
      </c>
      <c r="Y108" s="40" t="s">
        <v>220</v>
      </c>
      <c r="Z108" s="40" t="s">
        <v>35</v>
      </c>
      <c r="AA108" s="60" t="s">
        <v>87</v>
      </c>
      <c r="AB108" s="40" t="s">
        <v>187</v>
      </c>
      <c r="AK108" s="40" t="s">
        <v>221</v>
      </c>
      <c r="AO108" s="61"/>
      <c r="AP108" s="60"/>
    </row>
    <row r="109" spans="2:46" x14ac:dyDescent="0.35">
      <c r="B109" s="45" t="s">
        <v>636</v>
      </c>
      <c r="C109" s="46" t="s">
        <v>194</v>
      </c>
      <c r="D109" s="29" t="s">
        <v>194</v>
      </c>
      <c r="F109" s="57" t="s">
        <v>194</v>
      </c>
      <c r="G109" s="56"/>
      <c r="H109" s="56"/>
      <c r="I109" s="56"/>
      <c r="J109" s="56"/>
      <c r="O109" s="68"/>
      <c r="P109" s="68"/>
      <c r="Q109" s="68"/>
      <c r="R109" s="68"/>
      <c r="X109" s="45" t="str">
        <f t="shared" si="3"/>
        <v>2025</v>
      </c>
      <c r="Y109" s="29" t="s">
        <v>19</v>
      </c>
      <c r="AA109" s="45" t="s">
        <v>636</v>
      </c>
      <c r="AB109" s="29" t="s">
        <v>187</v>
      </c>
    </row>
    <row r="110" spans="2:46" x14ac:dyDescent="0.35">
      <c r="B110" s="45" t="s">
        <v>637</v>
      </c>
      <c r="C110" s="46" t="s">
        <v>194</v>
      </c>
      <c r="D110" s="29" t="s">
        <v>194</v>
      </c>
      <c r="F110" s="57" t="s">
        <v>194</v>
      </c>
      <c r="G110" s="56"/>
      <c r="H110" s="56"/>
      <c r="I110" s="56"/>
      <c r="J110" s="56"/>
      <c r="O110" s="68"/>
      <c r="P110" s="68"/>
      <c r="Q110" s="68"/>
      <c r="R110" s="68"/>
      <c r="X110" s="45" t="str">
        <f t="shared" si="3"/>
        <v>202501</v>
      </c>
      <c r="Y110" s="29" t="s">
        <v>32</v>
      </c>
      <c r="AA110" s="45" t="s">
        <v>636</v>
      </c>
      <c r="AB110" s="29" t="s">
        <v>187</v>
      </c>
      <c r="AG110" s="29" t="s">
        <v>19</v>
      </c>
      <c r="AH110" s="29" t="s">
        <v>35</v>
      </c>
      <c r="AI110" s="29" t="s">
        <v>189</v>
      </c>
    </row>
    <row r="111" spans="2:46" x14ac:dyDescent="0.35">
      <c r="B111" s="45" t="s">
        <v>638</v>
      </c>
      <c r="C111" s="46" t="s">
        <v>194</v>
      </c>
      <c r="D111" s="29" t="s">
        <v>194</v>
      </c>
      <c r="F111" s="57" t="s">
        <v>194</v>
      </c>
      <c r="G111" s="56"/>
      <c r="H111" s="56"/>
      <c r="I111" s="56"/>
      <c r="J111" s="56"/>
      <c r="O111" s="68"/>
      <c r="P111" s="68"/>
      <c r="Q111" s="68"/>
      <c r="R111" s="68"/>
      <c r="X111" s="45" t="str">
        <f t="shared" si="3"/>
        <v>202502</v>
      </c>
      <c r="Y111" s="29" t="s">
        <v>35</v>
      </c>
      <c r="AA111" s="45" t="s">
        <v>636</v>
      </c>
      <c r="AB111" s="29" t="s">
        <v>187</v>
      </c>
      <c r="AF111" s="29" t="s">
        <v>220</v>
      </c>
      <c r="AG111" s="29" t="s">
        <v>19</v>
      </c>
      <c r="AH111" s="29" t="s">
        <v>19</v>
      </c>
      <c r="AI111" s="29" t="s">
        <v>225</v>
      </c>
    </row>
    <row r="112" spans="2:46" x14ac:dyDescent="0.35">
      <c r="B112" s="45" t="s">
        <v>639</v>
      </c>
      <c r="C112" s="46" t="s">
        <v>194</v>
      </c>
      <c r="D112" s="29" t="s">
        <v>194</v>
      </c>
      <c r="F112" s="57" t="s">
        <v>194</v>
      </c>
      <c r="G112" s="56"/>
      <c r="H112" s="56"/>
      <c r="I112" s="56"/>
      <c r="J112" s="56"/>
      <c r="O112" s="68"/>
      <c r="P112" s="68"/>
      <c r="Q112" s="68"/>
      <c r="R112" s="68"/>
      <c r="X112" s="45" t="str">
        <f t="shared" si="3"/>
        <v>202503</v>
      </c>
      <c r="Y112" s="29" t="s">
        <v>220</v>
      </c>
      <c r="AA112" s="45" t="s">
        <v>636</v>
      </c>
      <c r="AB112" s="29" t="s">
        <v>187</v>
      </c>
    </row>
    <row r="113" spans="2:44" ht="99.75" x14ac:dyDescent="0.35">
      <c r="B113" s="45" t="s">
        <v>88</v>
      </c>
      <c r="C113" s="46" t="s">
        <v>640</v>
      </c>
      <c r="D113" s="29" t="s">
        <v>194</v>
      </c>
      <c r="E113" s="57" t="s">
        <v>641</v>
      </c>
      <c r="F113" s="57" t="s">
        <v>642</v>
      </c>
      <c r="G113" s="58" t="s">
        <v>643</v>
      </c>
      <c r="H113" s="56"/>
      <c r="I113" s="56"/>
      <c r="J113" s="56"/>
      <c r="O113" s="68" t="s">
        <v>644</v>
      </c>
      <c r="P113" s="68"/>
      <c r="Q113" s="68"/>
      <c r="R113" s="68"/>
      <c r="W113" s="45" t="str">
        <f>"skillvideo/skillvideo_"&amp;B113&amp;".mp4"</f>
        <v>skillvideo/skillvideo_2026.mp4</v>
      </c>
      <c r="X113" s="45" t="str">
        <f t="shared" si="3"/>
        <v>2026</v>
      </c>
      <c r="Y113" s="29" t="s">
        <v>19</v>
      </c>
      <c r="AA113" s="45" t="s">
        <v>88</v>
      </c>
      <c r="AB113" s="29" t="s">
        <v>187</v>
      </c>
      <c r="AC113" s="29" t="s">
        <v>645</v>
      </c>
      <c r="AR113" s="29" t="s">
        <v>202</v>
      </c>
    </row>
    <row r="114" spans="2:44" ht="71.25" x14ac:dyDescent="0.35">
      <c r="B114" s="45" t="s">
        <v>646</v>
      </c>
      <c r="C114" s="46" t="s">
        <v>647</v>
      </c>
      <c r="D114" s="29" t="s">
        <v>194</v>
      </c>
      <c r="E114" s="57" t="s">
        <v>648</v>
      </c>
      <c r="F114" s="57" t="s">
        <v>649</v>
      </c>
      <c r="G114" s="58" t="s">
        <v>650</v>
      </c>
      <c r="H114" s="56"/>
      <c r="I114" s="56"/>
      <c r="J114" s="56"/>
      <c r="O114" s="68" t="s">
        <v>651</v>
      </c>
      <c r="P114" s="68"/>
      <c r="Q114" s="68"/>
      <c r="R114" s="68"/>
      <c r="W114" s="45" t="str">
        <f>"skillvideo/skillvideo_"&amp;B114&amp;".mp4"</f>
        <v>skillvideo/skillvideo_202601.mp4</v>
      </c>
      <c r="X114" s="45" t="str">
        <f t="shared" si="3"/>
        <v>202601</v>
      </c>
      <c r="Y114" s="29" t="s">
        <v>32</v>
      </c>
      <c r="AA114" s="45" t="s">
        <v>88</v>
      </c>
      <c r="AB114" s="29" t="s">
        <v>187</v>
      </c>
      <c r="AC114" s="29" t="s">
        <v>652</v>
      </c>
      <c r="AF114" s="29" t="s">
        <v>217</v>
      </c>
      <c r="AG114" s="29" t="s">
        <v>19</v>
      </c>
      <c r="AH114" s="29" t="s">
        <v>32</v>
      </c>
      <c r="AI114" s="29" t="s">
        <v>69</v>
      </c>
      <c r="AP114" s="45" t="s">
        <v>653</v>
      </c>
      <c r="AQ114" s="29" t="s">
        <v>19</v>
      </c>
    </row>
    <row r="115" spans="2:44" ht="57" x14ac:dyDescent="0.35">
      <c r="B115" s="45" t="s">
        <v>654</v>
      </c>
      <c r="C115" s="46" t="s">
        <v>655</v>
      </c>
      <c r="D115" s="29" t="s">
        <v>194</v>
      </c>
      <c r="E115" s="57" t="s">
        <v>656</v>
      </c>
      <c r="F115" s="57" t="s">
        <v>657</v>
      </c>
      <c r="G115" s="58" t="s">
        <v>658</v>
      </c>
      <c r="H115" s="56"/>
      <c r="I115" s="56"/>
      <c r="J115" s="56"/>
      <c r="O115" s="68" t="s">
        <v>659</v>
      </c>
      <c r="P115" s="68"/>
      <c r="Q115" s="68"/>
      <c r="R115" s="68"/>
      <c r="W115" s="45" t="str">
        <f>"skillvideo/skillvideo_"&amp;B115&amp;".mp4"</f>
        <v>skillvideo/skillvideo_202602.mp4</v>
      </c>
      <c r="X115" s="45" t="str">
        <f t="shared" si="3"/>
        <v>202602</v>
      </c>
      <c r="Y115" s="29" t="s">
        <v>35</v>
      </c>
      <c r="AA115" s="45" t="s">
        <v>88</v>
      </c>
      <c r="AB115" s="29" t="s">
        <v>187</v>
      </c>
      <c r="AF115" s="29" t="s">
        <v>19</v>
      </c>
      <c r="AG115" s="29" t="s">
        <v>19</v>
      </c>
      <c r="AH115" s="29" t="s">
        <v>19</v>
      </c>
      <c r="AI115" s="29" t="s">
        <v>491</v>
      </c>
    </row>
    <row r="116" spans="2:44" x14ac:dyDescent="0.35">
      <c r="B116" s="45" t="s">
        <v>660</v>
      </c>
      <c r="C116" s="46" t="s">
        <v>194</v>
      </c>
      <c r="D116" s="29" t="s">
        <v>194</v>
      </c>
      <c r="F116" s="57" t="s">
        <v>194</v>
      </c>
      <c r="G116" s="56"/>
      <c r="H116" s="56"/>
      <c r="I116" s="56"/>
      <c r="J116" s="56"/>
      <c r="O116" s="68"/>
      <c r="P116" s="68"/>
      <c r="Q116" s="68"/>
      <c r="R116" s="68"/>
      <c r="X116" s="45" t="str">
        <f t="shared" si="3"/>
        <v>202603</v>
      </c>
      <c r="Y116" s="29" t="s">
        <v>220</v>
      </c>
      <c r="AA116" s="45" t="s">
        <v>88</v>
      </c>
      <c r="AB116" s="29" t="s">
        <v>187</v>
      </c>
    </row>
    <row r="117" spans="2:44" x14ac:dyDescent="0.35">
      <c r="B117" s="45" t="s">
        <v>661</v>
      </c>
      <c r="C117" s="46" t="s">
        <v>194</v>
      </c>
      <c r="D117" s="29" t="s">
        <v>194</v>
      </c>
      <c r="F117" s="57" t="s">
        <v>194</v>
      </c>
      <c r="G117" s="56"/>
      <c r="H117" s="56"/>
      <c r="I117" s="56"/>
      <c r="J117" s="56"/>
      <c r="O117" s="68"/>
      <c r="P117" s="68"/>
      <c r="Q117" s="68"/>
      <c r="R117" s="68"/>
      <c r="X117" s="45" t="str">
        <f t="shared" si="3"/>
        <v>2027</v>
      </c>
      <c r="Y117" s="29" t="s">
        <v>19</v>
      </c>
      <c r="AA117" s="45" t="s">
        <v>661</v>
      </c>
      <c r="AB117" s="29" t="s">
        <v>187</v>
      </c>
    </row>
    <row r="118" spans="2:44" x14ac:dyDescent="0.35">
      <c r="B118" s="45" t="s">
        <v>662</v>
      </c>
      <c r="C118" s="46" t="s">
        <v>194</v>
      </c>
      <c r="D118" s="29" t="s">
        <v>194</v>
      </c>
      <c r="F118" s="57" t="s">
        <v>194</v>
      </c>
      <c r="G118" s="56"/>
      <c r="H118" s="56"/>
      <c r="I118" s="56"/>
      <c r="J118" s="56"/>
      <c r="O118" s="68"/>
      <c r="P118" s="68"/>
      <c r="Q118" s="68"/>
      <c r="R118" s="68"/>
      <c r="X118" s="45" t="str">
        <f t="shared" si="3"/>
        <v>202701</v>
      </c>
      <c r="Y118" s="29" t="s">
        <v>32</v>
      </c>
      <c r="AA118" s="45" t="s">
        <v>661</v>
      </c>
      <c r="AB118" s="29" t="s">
        <v>187</v>
      </c>
      <c r="AG118" s="29" t="s">
        <v>19</v>
      </c>
      <c r="AH118" s="29" t="s">
        <v>35</v>
      </c>
      <c r="AI118" s="29" t="s">
        <v>189</v>
      </c>
    </row>
    <row r="119" spans="2:44" x14ac:dyDescent="0.35">
      <c r="B119" s="45" t="s">
        <v>663</v>
      </c>
      <c r="C119" s="46" t="s">
        <v>194</v>
      </c>
      <c r="D119" s="29" t="s">
        <v>194</v>
      </c>
      <c r="F119" s="57" t="s">
        <v>194</v>
      </c>
      <c r="G119" s="56"/>
      <c r="H119" s="56"/>
      <c r="I119" s="56"/>
      <c r="J119" s="56"/>
      <c r="O119" s="68"/>
      <c r="P119" s="68"/>
      <c r="Q119" s="68"/>
      <c r="R119" s="68"/>
      <c r="X119" s="45" t="str">
        <f t="shared" si="3"/>
        <v>202702</v>
      </c>
      <c r="Y119" s="29" t="s">
        <v>35</v>
      </c>
      <c r="AA119" s="45" t="s">
        <v>661</v>
      </c>
      <c r="AB119" s="29" t="s">
        <v>187</v>
      </c>
      <c r="AF119" s="29" t="s">
        <v>220</v>
      </c>
      <c r="AG119" s="29" t="s">
        <v>19</v>
      </c>
      <c r="AH119" s="29" t="s">
        <v>19</v>
      </c>
      <c r="AI119" s="29" t="s">
        <v>225</v>
      </c>
    </row>
    <row r="120" spans="2:44" x14ac:dyDescent="0.35">
      <c r="B120" s="45" t="s">
        <v>664</v>
      </c>
      <c r="C120" s="46" t="s">
        <v>194</v>
      </c>
      <c r="D120" s="29" t="s">
        <v>194</v>
      </c>
      <c r="F120" s="57" t="s">
        <v>194</v>
      </c>
      <c r="G120" s="56"/>
      <c r="H120" s="56"/>
      <c r="I120" s="56"/>
      <c r="J120" s="56"/>
      <c r="O120" s="68"/>
      <c r="P120" s="68"/>
      <c r="Q120" s="68"/>
      <c r="R120" s="68"/>
      <c r="X120" s="45" t="str">
        <f t="shared" si="3"/>
        <v>202703</v>
      </c>
      <c r="Y120" s="29" t="s">
        <v>220</v>
      </c>
      <c r="AA120" s="45" t="s">
        <v>661</v>
      </c>
      <c r="AB120" s="29" t="s">
        <v>187</v>
      </c>
    </row>
    <row r="121" spans="2:44" ht="99.75" x14ac:dyDescent="0.35">
      <c r="B121" s="45" t="s">
        <v>665</v>
      </c>
      <c r="C121" s="46" t="s">
        <v>666</v>
      </c>
      <c r="D121" s="29" t="s">
        <v>194</v>
      </c>
      <c r="E121" s="46" t="s">
        <v>667</v>
      </c>
      <c r="F121" s="57" t="s">
        <v>668</v>
      </c>
      <c r="G121" s="58" t="s">
        <v>669</v>
      </c>
      <c r="H121" s="58" t="s">
        <v>670</v>
      </c>
      <c r="I121" s="58" t="s">
        <v>671</v>
      </c>
      <c r="J121" s="58" t="s">
        <v>672</v>
      </c>
      <c r="O121" s="68"/>
      <c r="P121" s="68"/>
      <c r="Q121" s="68"/>
      <c r="R121" s="68"/>
      <c r="X121" s="45" t="str">
        <f t="shared" si="3"/>
        <v>2028</v>
      </c>
      <c r="Y121" s="29" t="s">
        <v>19</v>
      </c>
      <c r="AA121" s="45" t="s">
        <v>665</v>
      </c>
      <c r="AB121" s="29" t="s">
        <v>187</v>
      </c>
    </row>
    <row r="122" spans="2:44" ht="33" x14ac:dyDescent="0.35">
      <c r="B122" s="45" t="s">
        <v>673</v>
      </c>
      <c r="C122" s="46" t="s">
        <v>674</v>
      </c>
      <c r="D122" s="29" t="s">
        <v>194</v>
      </c>
      <c r="E122" s="46" t="s">
        <v>675</v>
      </c>
      <c r="F122" s="57" t="s">
        <v>676</v>
      </c>
      <c r="G122" s="58" t="s">
        <v>677</v>
      </c>
      <c r="H122" s="56"/>
      <c r="I122" s="56"/>
      <c r="J122" s="56"/>
      <c r="O122" s="68"/>
      <c r="P122" s="68"/>
      <c r="Q122" s="68"/>
      <c r="R122" s="68"/>
      <c r="X122" s="45" t="str">
        <f t="shared" si="3"/>
        <v>202801</v>
      </c>
      <c r="Y122" s="29" t="s">
        <v>32</v>
      </c>
      <c r="AA122" s="45" t="s">
        <v>665</v>
      </c>
      <c r="AB122" s="29" t="s">
        <v>187</v>
      </c>
      <c r="AG122" s="29" t="s">
        <v>19</v>
      </c>
      <c r="AH122" s="29" t="s">
        <v>35</v>
      </c>
      <c r="AI122" s="29" t="s">
        <v>189</v>
      </c>
    </row>
    <row r="123" spans="2:44" ht="57" x14ac:dyDescent="0.35">
      <c r="B123" s="45" t="s">
        <v>678</v>
      </c>
      <c r="C123" s="46" t="s">
        <v>679</v>
      </c>
      <c r="D123" s="29" t="s">
        <v>194</v>
      </c>
      <c r="E123" s="46" t="s">
        <v>680</v>
      </c>
      <c r="F123" s="57" t="s">
        <v>681</v>
      </c>
      <c r="G123" s="58" t="s">
        <v>682</v>
      </c>
      <c r="H123" s="56"/>
      <c r="I123" s="56"/>
      <c r="J123" s="56"/>
      <c r="O123" s="68"/>
      <c r="P123" s="68"/>
      <c r="Q123" s="68"/>
      <c r="R123" s="68"/>
      <c r="X123" s="45" t="str">
        <f t="shared" si="3"/>
        <v>202802</v>
      </c>
      <c r="Y123" s="29" t="s">
        <v>35</v>
      </c>
      <c r="AA123" s="45" t="s">
        <v>665</v>
      </c>
      <c r="AB123" s="29" t="s">
        <v>187</v>
      </c>
      <c r="AF123" s="29" t="s">
        <v>220</v>
      </c>
      <c r="AG123" s="29" t="s">
        <v>19</v>
      </c>
      <c r="AH123" s="29" t="s">
        <v>19</v>
      </c>
      <c r="AI123" s="29" t="s">
        <v>225</v>
      </c>
    </row>
    <row r="124" spans="2:44" x14ac:dyDescent="0.35">
      <c r="B124" s="45" t="s">
        <v>683</v>
      </c>
      <c r="C124" s="46" t="s">
        <v>194</v>
      </c>
      <c r="D124" s="29" t="s">
        <v>194</v>
      </c>
      <c r="F124" s="57" t="s">
        <v>194</v>
      </c>
      <c r="G124" s="56"/>
      <c r="H124" s="56"/>
      <c r="I124" s="56"/>
      <c r="J124" s="56"/>
      <c r="O124" s="68"/>
      <c r="P124" s="68"/>
      <c r="Q124" s="68"/>
      <c r="R124" s="68"/>
      <c r="X124" s="45" t="str">
        <f t="shared" si="3"/>
        <v>202803</v>
      </c>
      <c r="Y124" s="29" t="s">
        <v>220</v>
      </c>
      <c r="AA124" s="45" t="s">
        <v>665</v>
      </c>
      <c r="AB124" s="29" t="s">
        <v>187</v>
      </c>
    </row>
    <row r="125" spans="2:44" x14ac:dyDescent="0.35">
      <c r="B125" s="45">
        <v>202800</v>
      </c>
      <c r="C125" s="46" t="s">
        <v>194</v>
      </c>
      <c r="D125" s="29" t="s">
        <v>194</v>
      </c>
      <c r="F125" s="57" t="s">
        <v>194</v>
      </c>
      <c r="G125" s="56"/>
      <c r="H125" s="56"/>
      <c r="I125" s="56"/>
      <c r="J125" s="56"/>
      <c r="O125" s="68"/>
      <c r="P125" s="68"/>
      <c r="Q125" s="68"/>
      <c r="R125" s="68"/>
      <c r="X125" s="45">
        <f>B125</f>
        <v>202800</v>
      </c>
      <c r="Y125" s="29" t="s">
        <v>220</v>
      </c>
      <c r="AA125" s="45" t="s">
        <v>665</v>
      </c>
      <c r="AB125" s="29" t="s">
        <v>187</v>
      </c>
    </row>
    <row r="126" spans="2:44" x14ac:dyDescent="0.35">
      <c r="B126" s="45" t="s">
        <v>89</v>
      </c>
      <c r="C126" s="46" t="s">
        <v>194</v>
      </c>
      <c r="D126" s="29" t="s">
        <v>194</v>
      </c>
      <c r="F126" s="57" t="s">
        <v>194</v>
      </c>
      <c r="G126" s="56"/>
      <c r="H126" s="56"/>
      <c r="I126" s="56"/>
      <c r="J126" s="56"/>
      <c r="O126" s="68"/>
      <c r="P126" s="68"/>
      <c r="Q126" s="68"/>
      <c r="R126" s="68"/>
      <c r="X126" s="45" t="str">
        <f t="shared" si="3"/>
        <v>2029</v>
      </c>
      <c r="Y126" s="29" t="s">
        <v>19</v>
      </c>
      <c r="AA126" s="45" t="s">
        <v>89</v>
      </c>
      <c r="AB126" s="29" t="s">
        <v>187</v>
      </c>
    </row>
    <row r="127" spans="2:44" x14ac:dyDescent="0.35">
      <c r="B127" s="45" t="s">
        <v>684</v>
      </c>
      <c r="C127" s="46" t="s">
        <v>194</v>
      </c>
      <c r="D127" s="29" t="s">
        <v>194</v>
      </c>
      <c r="F127" s="57" t="s">
        <v>194</v>
      </c>
      <c r="G127" s="56"/>
      <c r="H127" s="56"/>
      <c r="I127" s="56"/>
      <c r="J127" s="56"/>
      <c r="O127" s="68"/>
      <c r="P127" s="68"/>
      <c r="Q127" s="68"/>
      <c r="R127" s="68"/>
      <c r="X127" s="45" t="str">
        <f t="shared" si="3"/>
        <v>202901</v>
      </c>
      <c r="Y127" s="29" t="s">
        <v>32</v>
      </c>
      <c r="AA127" s="45" t="s">
        <v>89</v>
      </c>
      <c r="AB127" s="29" t="s">
        <v>187</v>
      </c>
      <c r="AF127" s="29" t="s">
        <v>431</v>
      </c>
      <c r="AG127" s="29" t="s">
        <v>19</v>
      </c>
      <c r="AH127" s="29" t="s">
        <v>35</v>
      </c>
      <c r="AI127" s="29" t="s">
        <v>189</v>
      </c>
      <c r="AP127" s="45">
        <v>2029</v>
      </c>
      <c r="AQ127" s="29" t="s">
        <v>19</v>
      </c>
    </row>
    <row r="128" spans="2:44" x14ac:dyDescent="0.35">
      <c r="B128" s="45" t="s">
        <v>685</v>
      </c>
      <c r="C128" s="46" t="s">
        <v>194</v>
      </c>
      <c r="D128" s="29" t="s">
        <v>194</v>
      </c>
      <c r="F128" s="57" t="s">
        <v>194</v>
      </c>
      <c r="G128" s="56"/>
      <c r="H128" s="56"/>
      <c r="I128" s="56"/>
      <c r="J128" s="56"/>
      <c r="O128" s="68"/>
      <c r="P128" s="68"/>
      <c r="Q128" s="68"/>
      <c r="R128" s="68"/>
      <c r="X128" s="45" t="str">
        <f t="shared" si="3"/>
        <v>202902</v>
      </c>
      <c r="Y128" s="29" t="s">
        <v>35</v>
      </c>
      <c r="AA128" s="45" t="s">
        <v>89</v>
      </c>
      <c r="AB128" s="29" t="s">
        <v>187</v>
      </c>
      <c r="AE128" s="29" t="s">
        <v>32</v>
      </c>
      <c r="AF128" s="29" t="s">
        <v>431</v>
      </c>
      <c r="AG128" s="29" t="s">
        <v>19</v>
      </c>
      <c r="AH128" s="29" t="s">
        <v>19</v>
      </c>
      <c r="AI128" s="29" t="s">
        <v>225</v>
      </c>
      <c r="AP128" s="45">
        <v>2029</v>
      </c>
    </row>
    <row r="129" spans="2:46" x14ac:dyDescent="0.35">
      <c r="B129" s="45" t="s">
        <v>686</v>
      </c>
      <c r="C129" s="46" t="s">
        <v>194</v>
      </c>
      <c r="D129" s="29" t="s">
        <v>194</v>
      </c>
      <c r="F129" s="57" t="s">
        <v>194</v>
      </c>
      <c r="G129" s="56"/>
      <c r="H129" s="56"/>
      <c r="I129" s="56"/>
      <c r="J129" s="56"/>
      <c r="O129" s="68"/>
      <c r="P129" s="68"/>
      <c r="Q129" s="68"/>
      <c r="R129" s="68"/>
      <c r="X129" s="45" t="str">
        <f t="shared" si="3"/>
        <v>202903</v>
      </c>
      <c r="Y129" s="29" t="s">
        <v>220</v>
      </c>
      <c r="AA129" s="45" t="s">
        <v>89</v>
      </c>
      <c r="AB129" s="29" t="s">
        <v>187</v>
      </c>
    </row>
    <row r="130" spans="2:46" ht="71.25" x14ac:dyDescent="0.35">
      <c r="B130" s="45" t="s">
        <v>90</v>
      </c>
      <c r="C130" s="46" t="s">
        <v>687</v>
      </c>
      <c r="D130" s="29" t="s">
        <v>194</v>
      </c>
      <c r="E130" s="46" t="s">
        <v>688</v>
      </c>
      <c r="F130" s="57" t="s">
        <v>689</v>
      </c>
      <c r="G130" s="58" t="s">
        <v>690</v>
      </c>
      <c r="H130" s="58" t="s">
        <v>691</v>
      </c>
      <c r="I130" s="58" t="s">
        <v>692</v>
      </c>
      <c r="J130" s="56"/>
      <c r="O130" s="68" t="s">
        <v>238</v>
      </c>
      <c r="P130" s="68" t="s">
        <v>239</v>
      </c>
      <c r="Q130" s="68" t="s">
        <v>240</v>
      </c>
      <c r="R130" s="68"/>
      <c r="W130" s="45" t="str">
        <f>"skillvideo/skillvideo_"&amp;B130&amp;".mp4"</f>
        <v>skillvideo/skillvideo_2030.mp4</v>
      </c>
      <c r="X130" s="45" t="str">
        <f t="shared" si="3"/>
        <v>2030</v>
      </c>
      <c r="Y130" s="29" t="s">
        <v>19</v>
      </c>
      <c r="AA130" s="45" t="s">
        <v>90</v>
      </c>
      <c r="AB130" s="29" t="s">
        <v>187</v>
      </c>
      <c r="AC130" s="29" t="s">
        <v>69</v>
      </c>
      <c r="AR130" s="29" t="s">
        <v>202</v>
      </c>
    </row>
    <row r="131" spans="2:46" ht="99" x14ac:dyDescent="0.35">
      <c r="B131" s="45" t="s">
        <v>693</v>
      </c>
      <c r="C131" s="46" t="s">
        <v>694</v>
      </c>
      <c r="D131" s="29" t="s">
        <v>194</v>
      </c>
      <c r="E131" s="57" t="s">
        <v>695</v>
      </c>
      <c r="F131" s="57" t="s">
        <v>696</v>
      </c>
      <c r="G131" s="58" t="s">
        <v>697</v>
      </c>
      <c r="H131" s="56"/>
      <c r="I131" s="56"/>
      <c r="J131" s="56"/>
      <c r="O131" s="68" t="s">
        <v>698</v>
      </c>
      <c r="P131" s="68"/>
      <c r="Q131" s="68"/>
      <c r="R131" s="68"/>
      <c r="W131" s="45" t="str">
        <f>"skillvideo/skillvideo_"&amp;B131&amp;".mp4"</f>
        <v>skillvideo/skillvideo_203001.mp4</v>
      </c>
      <c r="X131" s="45" t="str">
        <f t="shared" si="3"/>
        <v>203001</v>
      </c>
      <c r="Y131" s="29" t="s">
        <v>32</v>
      </c>
      <c r="AA131" s="45" t="s">
        <v>90</v>
      </c>
      <c r="AB131" s="29" t="s">
        <v>187</v>
      </c>
      <c r="AF131" s="29" t="s">
        <v>217</v>
      </c>
      <c r="AG131" s="29" t="s">
        <v>19</v>
      </c>
      <c r="AH131" s="29" t="s">
        <v>19</v>
      </c>
      <c r="AI131" s="29" t="s">
        <v>699</v>
      </c>
      <c r="AP131" s="45">
        <v>2030</v>
      </c>
      <c r="AQ131" s="29" t="s">
        <v>19</v>
      </c>
    </row>
    <row r="132" spans="2:46" ht="71.25" x14ac:dyDescent="0.35">
      <c r="B132" s="45" t="s">
        <v>700</v>
      </c>
      <c r="C132" s="46" t="s">
        <v>701</v>
      </c>
      <c r="D132" s="29" t="s">
        <v>194</v>
      </c>
      <c r="E132" s="57" t="s">
        <v>702</v>
      </c>
      <c r="F132" s="57" t="s">
        <v>703</v>
      </c>
      <c r="G132" s="58" t="s">
        <v>704</v>
      </c>
      <c r="H132" s="56"/>
      <c r="I132" s="56"/>
      <c r="J132" s="56"/>
      <c r="O132" s="68" t="s">
        <v>705</v>
      </c>
      <c r="P132" s="68"/>
      <c r="Q132" s="68"/>
      <c r="R132" s="68"/>
      <c r="W132" s="45" t="str">
        <f>"skillvideo/skillvideo_"&amp;B132&amp;".mp4"</f>
        <v>skillvideo/skillvideo_203002.mp4</v>
      </c>
      <c r="X132" s="45" t="str">
        <f t="shared" si="3"/>
        <v>203002</v>
      </c>
      <c r="Y132" s="29" t="s">
        <v>35</v>
      </c>
      <c r="AA132" s="45" t="s">
        <v>90</v>
      </c>
      <c r="AB132" s="29" t="s">
        <v>187</v>
      </c>
      <c r="AC132" s="29" t="s">
        <v>706</v>
      </c>
      <c r="AE132" s="29" t="s">
        <v>32</v>
      </c>
      <c r="AF132" s="29" t="s">
        <v>32</v>
      </c>
      <c r="AG132" s="29" t="s">
        <v>19</v>
      </c>
      <c r="AH132" s="29" t="s">
        <v>19</v>
      </c>
      <c r="AI132" s="29" t="s">
        <v>491</v>
      </c>
      <c r="AK132" s="29" t="s">
        <v>707</v>
      </c>
      <c r="AL132" s="29" t="s">
        <v>19</v>
      </c>
      <c r="AP132" s="45">
        <v>2030</v>
      </c>
    </row>
    <row r="133" spans="2:46" x14ac:dyDescent="0.35">
      <c r="B133" s="45" t="s">
        <v>708</v>
      </c>
      <c r="C133" s="46" t="s">
        <v>709</v>
      </c>
      <c r="D133" s="29" t="s">
        <v>194</v>
      </c>
      <c r="F133" s="57" t="s">
        <v>194</v>
      </c>
      <c r="G133" s="56"/>
      <c r="H133" s="56"/>
      <c r="I133" s="56"/>
      <c r="J133" s="56"/>
      <c r="O133" s="68"/>
      <c r="P133" s="68"/>
      <c r="Q133" s="68"/>
      <c r="R133" s="68"/>
      <c r="X133" s="45" t="str">
        <f t="shared" si="3"/>
        <v>203003</v>
      </c>
      <c r="Y133" s="29" t="s">
        <v>220</v>
      </c>
      <c r="Z133" s="29" t="s">
        <v>35</v>
      </c>
      <c r="AA133" s="45" t="s">
        <v>90</v>
      </c>
      <c r="AB133" s="29" t="s">
        <v>187</v>
      </c>
      <c r="AK133" s="40" t="s">
        <v>221</v>
      </c>
    </row>
    <row r="134" spans="2:46" x14ac:dyDescent="0.35">
      <c r="B134" s="45" t="s">
        <v>710</v>
      </c>
      <c r="C134" s="46" t="s">
        <v>194</v>
      </c>
      <c r="D134" s="29" t="s">
        <v>194</v>
      </c>
      <c r="F134" s="57" t="s">
        <v>194</v>
      </c>
      <c r="G134" s="56"/>
      <c r="H134" s="56"/>
      <c r="I134" s="56"/>
      <c r="J134" s="56"/>
      <c r="O134" s="68"/>
      <c r="P134" s="68"/>
      <c r="Q134" s="68"/>
      <c r="R134" s="68"/>
      <c r="X134" s="45" t="str">
        <f t="shared" si="3"/>
        <v>2031</v>
      </c>
      <c r="Y134" s="29" t="s">
        <v>19</v>
      </c>
      <c r="AA134" s="45" t="s">
        <v>710</v>
      </c>
      <c r="AB134" s="29" t="s">
        <v>187</v>
      </c>
    </row>
    <row r="135" spans="2:46" x14ac:dyDescent="0.35">
      <c r="B135" s="45" t="s">
        <v>711</v>
      </c>
      <c r="C135" s="46" t="s">
        <v>194</v>
      </c>
      <c r="D135" s="29" t="s">
        <v>194</v>
      </c>
      <c r="F135" s="57" t="s">
        <v>194</v>
      </c>
      <c r="G135" s="56"/>
      <c r="H135" s="56"/>
      <c r="I135" s="56"/>
      <c r="J135" s="56"/>
      <c r="O135" s="68"/>
      <c r="P135" s="68"/>
      <c r="Q135" s="68"/>
      <c r="R135" s="68"/>
      <c r="X135" s="45" t="str">
        <f t="shared" si="3"/>
        <v>203101</v>
      </c>
      <c r="Y135" s="29" t="s">
        <v>32</v>
      </c>
      <c r="AA135" s="45" t="s">
        <v>710</v>
      </c>
      <c r="AB135" s="29" t="s">
        <v>187</v>
      </c>
      <c r="AG135" s="29" t="s">
        <v>19</v>
      </c>
      <c r="AH135" s="29" t="s">
        <v>35</v>
      </c>
      <c r="AI135" s="29" t="s">
        <v>189</v>
      </c>
    </row>
    <row r="136" spans="2:46" x14ac:dyDescent="0.35">
      <c r="B136" s="45" t="s">
        <v>712</v>
      </c>
      <c r="C136" s="46" t="s">
        <v>194</v>
      </c>
      <c r="D136" s="29" t="s">
        <v>194</v>
      </c>
      <c r="F136" s="57" t="s">
        <v>194</v>
      </c>
      <c r="G136" s="56"/>
      <c r="H136" s="56"/>
      <c r="I136" s="56"/>
      <c r="J136" s="56"/>
      <c r="O136" s="68"/>
      <c r="P136" s="68"/>
      <c r="Q136" s="68"/>
      <c r="R136" s="68"/>
      <c r="X136" s="45" t="str">
        <f t="shared" si="3"/>
        <v>203102</v>
      </c>
      <c r="Y136" s="29" t="s">
        <v>35</v>
      </c>
      <c r="AA136" s="45" t="s">
        <v>710</v>
      </c>
      <c r="AB136" s="29" t="s">
        <v>187</v>
      </c>
      <c r="AF136" s="29" t="s">
        <v>220</v>
      </c>
      <c r="AG136" s="29" t="s">
        <v>19</v>
      </c>
      <c r="AH136" s="29" t="s">
        <v>19</v>
      </c>
      <c r="AI136" s="29" t="s">
        <v>225</v>
      </c>
    </row>
    <row r="137" spans="2:46" x14ac:dyDescent="0.35">
      <c r="B137" s="45" t="s">
        <v>713</v>
      </c>
      <c r="C137" s="46" t="s">
        <v>194</v>
      </c>
      <c r="D137" s="29" t="s">
        <v>194</v>
      </c>
      <c r="F137" s="57" t="s">
        <v>194</v>
      </c>
      <c r="G137" s="56"/>
      <c r="H137" s="56"/>
      <c r="I137" s="56"/>
      <c r="J137" s="56"/>
      <c r="O137" s="68"/>
      <c r="P137" s="68"/>
      <c r="Q137" s="68"/>
      <c r="R137" s="68"/>
      <c r="X137" s="45" t="str">
        <f t="shared" si="3"/>
        <v>203103</v>
      </c>
      <c r="Y137" s="29" t="s">
        <v>220</v>
      </c>
      <c r="AA137" s="45" t="s">
        <v>710</v>
      </c>
      <c r="AB137" s="29" t="s">
        <v>187</v>
      </c>
    </row>
    <row r="138" spans="2:46" ht="156.75" x14ac:dyDescent="0.35">
      <c r="B138" s="45" t="s">
        <v>714</v>
      </c>
      <c r="C138" s="46" t="s">
        <v>715</v>
      </c>
      <c r="D138" s="29" t="s">
        <v>194</v>
      </c>
      <c r="E138" s="46" t="s">
        <v>716</v>
      </c>
      <c r="F138" s="57" t="s">
        <v>717</v>
      </c>
      <c r="G138" s="58" t="s">
        <v>718</v>
      </c>
      <c r="H138" s="56"/>
      <c r="I138" s="56"/>
      <c r="J138" s="56"/>
      <c r="O138" s="68" t="s">
        <v>719</v>
      </c>
      <c r="P138" s="68"/>
      <c r="Q138" s="68"/>
      <c r="R138" s="68"/>
      <c r="W138" s="45" t="str">
        <f>"skillvideo/skillvideo_"&amp;B138&amp;".mp4"</f>
        <v>skillvideo/skillvideo_2032.mp4</v>
      </c>
      <c r="X138" s="45" t="str">
        <f t="shared" si="3"/>
        <v>2032</v>
      </c>
      <c r="Y138" s="29" t="s">
        <v>19</v>
      </c>
      <c r="AA138" s="45" t="s">
        <v>714</v>
      </c>
      <c r="AB138" s="29" t="s">
        <v>187</v>
      </c>
      <c r="AC138" s="29" t="s">
        <v>720</v>
      </c>
      <c r="AR138" s="29" t="s">
        <v>32</v>
      </c>
      <c r="AT138" s="29" t="s">
        <v>314</v>
      </c>
    </row>
    <row r="139" spans="2:46" ht="42.75" x14ac:dyDescent="0.35">
      <c r="B139" s="45" t="s">
        <v>721</v>
      </c>
      <c r="C139" s="46" t="s">
        <v>722</v>
      </c>
      <c r="D139" s="29" t="s">
        <v>194</v>
      </c>
      <c r="E139" s="46" t="s">
        <v>723</v>
      </c>
      <c r="F139" s="57" t="s">
        <v>724</v>
      </c>
      <c r="G139" s="58" t="s">
        <v>725</v>
      </c>
      <c r="H139" s="56"/>
      <c r="I139" s="56"/>
      <c r="J139" s="56"/>
      <c r="O139" s="68" t="s">
        <v>368</v>
      </c>
      <c r="P139" s="68"/>
      <c r="Q139" s="68"/>
      <c r="R139" s="68"/>
      <c r="W139" s="45" t="str">
        <f>"skillvideo/skillvideo_"&amp;B139&amp;".mp4"</f>
        <v>skillvideo/skillvideo_203201.mp4</v>
      </c>
      <c r="X139" s="45" t="str">
        <f t="shared" si="3"/>
        <v>203201</v>
      </c>
      <c r="Y139" s="29" t="s">
        <v>32</v>
      </c>
      <c r="AA139" s="45" t="s">
        <v>714</v>
      </c>
      <c r="AB139" s="29" t="s">
        <v>187</v>
      </c>
      <c r="AC139" s="29" t="s">
        <v>714</v>
      </c>
      <c r="AF139" s="29" t="s">
        <v>217</v>
      </c>
      <c r="AG139" s="29" t="s">
        <v>19</v>
      </c>
      <c r="AH139" s="29" t="s">
        <v>32</v>
      </c>
      <c r="AI139" s="29" t="s">
        <v>189</v>
      </c>
      <c r="AP139" s="45" t="s">
        <v>726</v>
      </c>
      <c r="AQ139" s="29" t="s">
        <v>19</v>
      </c>
    </row>
    <row r="140" spans="2:46" ht="114" x14ac:dyDescent="0.35">
      <c r="B140" s="45" t="s">
        <v>727</v>
      </c>
      <c r="C140" s="46" t="s">
        <v>728</v>
      </c>
      <c r="D140" s="29" t="s">
        <v>194</v>
      </c>
      <c r="E140" s="46" t="s">
        <v>729</v>
      </c>
      <c r="F140" s="57" t="s">
        <v>730</v>
      </c>
      <c r="G140" s="58" t="s">
        <v>731</v>
      </c>
      <c r="H140" s="58" t="s">
        <v>732</v>
      </c>
      <c r="I140" s="56"/>
      <c r="J140" s="56"/>
      <c r="O140" s="68" t="s">
        <v>733</v>
      </c>
      <c r="P140" s="68" t="s">
        <v>734</v>
      </c>
      <c r="Q140" s="68"/>
      <c r="R140" s="68"/>
      <c r="W140" s="45" t="str">
        <f>"skillvideo/skillvideo_"&amp;B140&amp;".mp4"</f>
        <v>skillvideo/skillvideo_203202.mp4</v>
      </c>
      <c r="X140" s="45" t="str">
        <f>B140</f>
        <v>203202</v>
      </c>
      <c r="Y140" s="29" t="s">
        <v>35</v>
      </c>
      <c r="AA140" s="45" t="s">
        <v>714</v>
      </c>
      <c r="AB140" s="29" t="s">
        <v>187</v>
      </c>
      <c r="AC140" s="29" t="s">
        <v>714</v>
      </c>
      <c r="AF140" s="29" t="s">
        <v>19</v>
      </c>
      <c r="AG140" s="29" t="s">
        <v>19</v>
      </c>
      <c r="AH140" s="29" t="s">
        <v>19</v>
      </c>
      <c r="AI140" s="29" t="s">
        <v>735</v>
      </c>
    </row>
    <row r="141" spans="2:46" ht="66" x14ac:dyDescent="0.35">
      <c r="B141" s="45" t="s">
        <v>736</v>
      </c>
      <c r="C141" s="46" t="s">
        <v>194</v>
      </c>
      <c r="D141" s="29" t="s">
        <v>194</v>
      </c>
      <c r="E141" s="134" t="s">
        <v>737</v>
      </c>
      <c r="F141" s="134" t="s">
        <v>737</v>
      </c>
      <c r="G141" s="56"/>
      <c r="H141" s="56"/>
      <c r="I141" s="56"/>
      <c r="J141" s="56"/>
      <c r="O141" s="68"/>
      <c r="P141" s="68"/>
      <c r="Q141" s="68"/>
      <c r="R141" s="68"/>
      <c r="X141" s="45">
        <v>203202</v>
      </c>
      <c r="Y141" s="29" t="s">
        <v>220</v>
      </c>
      <c r="AA141" s="45" t="s">
        <v>714</v>
      </c>
      <c r="AB141" s="29" t="s">
        <v>187</v>
      </c>
    </row>
    <row r="142" spans="2:46" ht="33" x14ac:dyDescent="0.35">
      <c r="B142" s="45" t="s">
        <v>738</v>
      </c>
      <c r="C142" s="46" t="s">
        <v>739</v>
      </c>
      <c r="D142" s="29" t="s">
        <v>194</v>
      </c>
      <c r="E142" s="46" t="s">
        <v>740</v>
      </c>
      <c r="F142" s="57" t="s">
        <v>740</v>
      </c>
      <c r="G142" s="58" t="s">
        <v>514</v>
      </c>
      <c r="H142" s="58" t="s">
        <v>515</v>
      </c>
      <c r="I142" s="56"/>
      <c r="J142" s="56"/>
      <c r="O142" s="68" t="s">
        <v>741</v>
      </c>
      <c r="P142" s="68"/>
      <c r="Q142" s="68"/>
      <c r="R142" s="68"/>
      <c r="X142" s="45"/>
      <c r="Y142" s="29" t="s">
        <v>19</v>
      </c>
      <c r="AA142" s="45" t="s">
        <v>738</v>
      </c>
      <c r="AB142" s="29" t="s">
        <v>187</v>
      </c>
      <c r="AC142" s="29" t="s">
        <v>742</v>
      </c>
      <c r="AR142" s="29" t="s">
        <v>202</v>
      </c>
    </row>
    <row r="143" spans="2:46" x14ac:dyDescent="0.35">
      <c r="B143" s="45" t="s">
        <v>743</v>
      </c>
      <c r="C143" s="46" t="s">
        <v>744</v>
      </c>
      <c r="D143" s="29" t="s">
        <v>194</v>
      </c>
      <c r="E143" s="46" t="s">
        <v>744</v>
      </c>
      <c r="F143" s="57" t="s">
        <v>744</v>
      </c>
      <c r="G143" s="56"/>
      <c r="H143" s="56"/>
      <c r="I143" s="56"/>
      <c r="J143" s="56"/>
      <c r="O143" s="68"/>
      <c r="P143" s="68"/>
      <c r="Q143" s="68"/>
      <c r="R143" s="68"/>
      <c r="X143" s="45"/>
      <c r="Y143" s="29" t="s">
        <v>32</v>
      </c>
      <c r="AA143" s="45" t="s">
        <v>738</v>
      </c>
      <c r="AB143" s="29" t="s">
        <v>187</v>
      </c>
      <c r="AF143" s="29" t="s">
        <v>431</v>
      </c>
      <c r="AG143" s="29" t="s">
        <v>19</v>
      </c>
      <c r="AH143" s="29" t="s">
        <v>35</v>
      </c>
      <c r="AI143" s="29" t="s">
        <v>189</v>
      </c>
      <c r="AP143" s="45" t="s">
        <v>745</v>
      </c>
      <c r="AQ143" s="29" t="s">
        <v>19</v>
      </c>
    </row>
    <row r="144" spans="2:46" ht="33" x14ac:dyDescent="0.35">
      <c r="B144" s="45" t="s">
        <v>746</v>
      </c>
      <c r="C144" s="46" t="s">
        <v>747</v>
      </c>
      <c r="D144" s="29" t="s">
        <v>194</v>
      </c>
      <c r="E144" s="46" t="s">
        <v>748</v>
      </c>
      <c r="F144" s="57" t="s">
        <v>748</v>
      </c>
      <c r="G144" s="58" t="s">
        <v>530</v>
      </c>
      <c r="H144" s="56"/>
      <c r="I144" s="56"/>
      <c r="J144" s="56"/>
      <c r="O144" s="68" t="s">
        <v>749</v>
      </c>
      <c r="P144" s="68"/>
      <c r="Q144" s="68"/>
      <c r="R144" s="68"/>
      <c r="X144" s="45"/>
      <c r="Y144" s="29" t="s">
        <v>35</v>
      </c>
      <c r="AA144" s="45" t="s">
        <v>738</v>
      </c>
      <c r="AB144" s="29" t="s">
        <v>187</v>
      </c>
      <c r="AC144" s="29" t="s">
        <v>742</v>
      </c>
      <c r="AG144" s="29" t="s">
        <v>19</v>
      </c>
      <c r="AH144" s="29" t="s">
        <v>19</v>
      </c>
      <c r="AI144" s="29" t="s">
        <v>189</v>
      </c>
      <c r="AP144" s="45">
        <v>2033</v>
      </c>
    </row>
    <row r="145" spans="2:44" x14ac:dyDescent="0.35">
      <c r="B145" s="45" t="s">
        <v>750</v>
      </c>
      <c r="C145" s="46" t="s">
        <v>194</v>
      </c>
      <c r="D145" s="29" t="s">
        <v>194</v>
      </c>
      <c r="F145" s="57" t="s">
        <v>194</v>
      </c>
      <c r="G145" s="56"/>
      <c r="H145" s="56"/>
      <c r="I145" s="56"/>
      <c r="J145" s="56"/>
      <c r="O145" s="68"/>
      <c r="P145" s="68"/>
      <c r="Q145" s="68"/>
      <c r="R145" s="68"/>
      <c r="X145" s="45" t="str">
        <f t="shared" ref="X145:X177" si="4">B145</f>
        <v>2034</v>
      </c>
      <c r="Y145" s="29" t="s">
        <v>19</v>
      </c>
      <c r="AA145" s="45" t="s">
        <v>750</v>
      </c>
      <c r="AB145" s="29" t="s">
        <v>187</v>
      </c>
    </row>
    <row r="146" spans="2:44" x14ac:dyDescent="0.35">
      <c r="B146" s="45" t="s">
        <v>751</v>
      </c>
      <c r="C146" s="46" t="s">
        <v>194</v>
      </c>
      <c r="D146" s="29" t="s">
        <v>194</v>
      </c>
      <c r="F146" s="57" t="s">
        <v>194</v>
      </c>
      <c r="G146" s="56"/>
      <c r="H146" s="56"/>
      <c r="I146" s="56"/>
      <c r="J146" s="56"/>
      <c r="O146" s="68"/>
      <c r="P146" s="68"/>
      <c r="Q146" s="68"/>
      <c r="R146" s="68"/>
      <c r="X146" s="45" t="str">
        <f t="shared" si="4"/>
        <v>203401</v>
      </c>
      <c r="Y146" s="29" t="s">
        <v>32</v>
      </c>
      <c r="AA146" s="45" t="s">
        <v>750</v>
      </c>
      <c r="AB146" s="29" t="s">
        <v>187</v>
      </c>
      <c r="AG146" s="29" t="s">
        <v>19</v>
      </c>
      <c r="AH146" s="29" t="s">
        <v>35</v>
      </c>
      <c r="AI146" s="29" t="s">
        <v>189</v>
      </c>
    </row>
    <row r="147" spans="2:44" x14ac:dyDescent="0.35">
      <c r="B147" s="45" t="s">
        <v>752</v>
      </c>
      <c r="C147" s="46" t="s">
        <v>194</v>
      </c>
      <c r="D147" s="29" t="s">
        <v>194</v>
      </c>
      <c r="F147" s="57" t="s">
        <v>194</v>
      </c>
      <c r="G147" s="56"/>
      <c r="H147" s="56"/>
      <c r="I147" s="56"/>
      <c r="J147" s="56"/>
      <c r="O147" s="68"/>
      <c r="P147" s="68"/>
      <c r="Q147" s="68"/>
      <c r="R147" s="68"/>
      <c r="X147" s="45" t="str">
        <f t="shared" si="4"/>
        <v>203402</v>
      </c>
      <c r="Y147" s="29" t="s">
        <v>35</v>
      </c>
      <c r="AA147" s="45" t="s">
        <v>750</v>
      </c>
      <c r="AB147" s="29" t="s">
        <v>187</v>
      </c>
      <c r="AF147" s="29" t="s">
        <v>220</v>
      </c>
      <c r="AG147" s="29" t="s">
        <v>19</v>
      </c>
      <c r="AH147" s="29" t="s">
        <v>19</v>
      </c>
      <c r="AI147" s="29" t="s">
        <v>225</v>
      </c>
    </row>
    <row r="148" spans="2:44" x14ac:dyDescent="0.35">
      <c r="B148" s="45" t="s">
        <v>753</v>
      </c>
      <c r="C148" s="46" t="s">
        <v>194</v>
      </c>
      <c r="D148" s="29" t="s">
        <v>194</v>
      </c>
      <c r="F148" s="57" t="s">
        <v>194</v>
      </c>
      <c r="G148" s="56"/>
      <c r="H148" s="56"/>
      <c r="I148" s="56"/>
      <c r="J148" s="56"/>
      <c r="O148" s="68"/>
      <c r="P148" s="68"/>
      <c r="Q148" s="68"/>
      <c r="R148" s="68"/>
      <c r="X148" s="45" t="str">
        <f t="shared" si="4"/>
        <v>203403</v>
      </c>
      <c r="Y148" s="29" t="s">
        <v>220</v>
      </c>
      <c r="AA148" s="45" t="s">
        <v>750</v>
      </c>
      <c r="AB148" s="29" t="s">
        <v>187</v>
      </c>
    </row>
    <row r="149" spans="2:44" ht="71.25" x14ac:dyDescent="0.35">
      <c r="B149" s="45" t="s">
        <v>91</v>
      </c>
      <c r="C149" s="46" t="s">
        <v>754</v>
      </c>
      <c r="D149" s="29" t="s">
        <v>194</v>
      </c>
      <c r="E149" s="46" t="s">
        <v>755</v>
      </c>
      <c r="F149" s="46" t="s">
        <v>755</v>
      </c>
      <c r="G149" s="56"/>
      <c r="H149" s="56"/>
      <c r="I149" s="56"/>
      <c r="J149" s="56"/>
      <c r="O149" s="68"/>
      <c r="P149" s="68"/>
      <c r="Q149" s="68"/>
      <c r="R149" s="68"/>
      <c r="X149" s="45" t="str">
        <f t="shared" si="4"/>
        <v>2035</v>
      </c>
      <c r="Y149" s="29" t="s">
        <v>19</v>
      </c>
      <c r="AA149" s="45" t="s">
        <v>91</v>
      </c>
      <c r="AB149" s="29" t="s">
        <v>187</v>
      </c>
      <c r="AR149" s="29" t="s">
        <v>756</v>
      </c>
    </row>
    <row r="150" spans="2:44" ht="71.25" x14ac:dyDescent="0.35">
      <c r="B150" s="45" t="s">
        <v>757</v>
      </c>
      <c r="C150" s="46" t="s">
        <v>758</v>
      </c>
      <c r="D150" s="29" t="s">
        <v>194</v>
      </c>
      <c r="E150" s="46" t="s">
        <v>759</v>
      </c>
      <c r="F150" s="46" t="s">
        <v>759</v>
      </c>
      <c r="G150" s="56"/>
      <c r="H150" s="56"/>
      <c r="I150" s="56"/>
      <c r="J150" s="56"/>
      <c r="O150" s="68"/>
      <c r="P150" s="68"/>
      <c r="Q150" s="68"/>
      <c r="R150" s="68"/>
      <c r="X150" s="45" t="str">
        <f t="shared" si="4"/>
        <v>203501</v>
      </c>
      <c r="Y150" s="29" t="s">
        <v>32</v>
      </c>
      <c r="AA150" s="45" t="s">
        <v>91</v>
      </c>
      <c r="AB150" s="29" t="s">
        <v>187</v>
      </c>
      <c r="AG150" s="29" t="s">
        <v>19</v>
      </c>
      <c r="AH150" s="29" t="s">
        <v>35</v>
      </c>
      <c r="AI150" s="29" t="s">
        <v>189</v>
      </c>
    </row>
    <row r="151" spans="2:44" ht="114" x14ac:dyDescent="0.35">
      <c r="B151" s="45" t="s">
        <v>760</v>
      </c>
      <c r="C151" s="46" t="s">
        <v>761</v>
      </c>
      <c r="D151" s="29" t="s">
        <v>194</v>
      </c>
      <c r="E151" s="46" t="s">
        <v>762</v>
      </c>
      <c r="F151" s="46" t="s">
        <v>762</v>
      </c>
      <c r="G151" s="56"/>
      <c r="H151" s="56"/>
      <c r="I151" s="56"/>
      <c r="J151" s="56"/>
      <c r="O151" s="68"/>
      <c r="P151" s="68"/>
      <c r="Q151" s="68"/>
      <c r="R151" s="68"/>
      <c r="X151" s="45" t="str">
        <f t="shared" si="4"/>
        <v>203502</v>
      </c>
      <c r="Y151" s="29" t="s">
        <v>35</v>
      </c>
      <c r="AA151" s="45" t="s">
        <v>91</v>
      </c>
      <c r="AB151" s="29" t="s">
        <v>187</v>
      </c>
      <c r="AF151" s="29" t="s">
        <v>220</v>
      </c>
      <c r="AG151" s="29" t="s">
        <v>19</v>
      </c>
      <c r="AH151" s="29" t="s">
        <v>19</v>
      </c>
      <c r="AI151" s="29" t="s">
        <v>225</v>
      </c>
    </row>
    <row r="152" spans="2:44" x14ac:dyDescent="0.35">
      <c r="B152" s="45" t="s">
        <v>763</v>
      </c>
      <c r="C152" s="46" t="s">
        <v>194</v>
      </c>
      <c r="D152" s="29" t="s">
        <v>194</v>
      </c>
      <c r="F152" s="57" t="s">
        <v>194</v>
      </c>
      <c r="G152" s="56"/>
      <c r="H152" s="56"/>
      <c r="I152" s="56"/>
      <c r="J152" s="56"/>
      <c r="O152" s="68"/>
      <c r="P152" s="68"/>
      <c r="Q152" s="68"/>
      <c r="R152" s="68"/>
      <c r="X152" s="45" t="str">
        <f t="shared" si="4"/>
        <v>203503</v>
      </c>
      <c r="Y152" s="29" t="s">
        <v>220</v>
      </c>
      <c r="AA152" s="45" t="s">
        <v>91</v>
      </c>
      <c r="AB152" s="29" t="s">
        <v>187</v>
      </c>
    </row>
    <row r="153" spans="2:44" x14ac:dyDescent="0.35">
      <c r="B153" s="45" t="s">
        <v>764</v>
      </c>
      <c r="C153" s="29" t="s">
        <v>194</v>
      </c>
      <c r="D153" s="29" t="s">
        <v>194</v>
      </c>
      <c r="F153" s="29" t="s">
        <v>194</v>
      </c>
      <c r="X153" s="45" t="str">
        <f t="shared" si="4"/>
        <v>2036</v>
      </c>
      <c r="Y153" s="29" t="s">
        <v>19</v>
      </c>
      <c r="AA153" s="45" t="s">
        <v>764</v>
      </c>
      <c r="AB153" s="29" t="s">
        <v>187</v>
      </c>
    </row>
    <row r="154" spans="2:44" x14ac:dyDescent="0.35">
      <c r="B154" s="45" t="s">
        <v>765</v>
      </c>
      <c r="C154" s="29" t="s">
        <v>194</v>
      </c>
      <c r="D154" s="29" t="s">
        <v>194</v>
      </c>
      <c r="F154" s="29" t="s">
        <v>194</v>
      </c>
      <c r="X154" s="45" t="str">
        <f t="shared" si="4"/>
        <v>203601</v>
      </c>
      <c r="Y154" s="29" t="s">
        <v>32</v>
      </c>
      <c r="AA154" s="45" t="s">
        <v>764</v>
      </c>
      <c r="AB154" s="29" t="s">
        <v>187</v>
      </c>
      <c r="AG154" s="29" t="s">
        <v>19</v>
      </c>
      <c r="AH154" s="29" t="s">
        <v>35</v>
      </c>
      <c r="AI154" s="29" t="s">
        <v>189</v>
      </c>
    </row>
    <row r="155" spans="2:44" x14ac:dyDescent="0.35">
      <c r="B155" s="45" t="s">
        <v>766</v>
      </c>
      <c r="C155" s="29" t="s">
        <v>194</v>
      </c>
      <c r="D155" s="29" t="s">
        <v>194</v>
      </c>
      <c r="F155" s="29" t="s">
        <v>194</v>
      </c>
      <c r="X155" s="45" t="str">
        <f t="shared" si="4"/>
        <v>203602</v>
      </c>
      <c r="Y155" s="29" t="s">
        <v>35</v>
      </c>
      <c r="AA155" s="45" t="s">
        <v>764</v>
      </c>
      <c r="AB155" s="29" t="s">
        <v>187</v>
      </c>
      <c r="AF155" s="29" t="s">
        <v>220</v>
      </c>
      <c r="AG155" s="29" t="s">
        <v>19</v>
      </c>
      <c r="AH155" s="29" t="s">
        <v>19</v>
      </c>
      <c r="AI155" s="29" t="s">
        <v>225</v>
      </c>
    </row>
    <row r="156" spans="2:44" x14ac:dyDescent="0.35">
      <c r="B156" s="45" t="s">
        <v>767</v>
      </c>
      <c r="C156" s="29" t="s">
        <v>194</v>
      </c>
      <c r="D156" s="29" t="s">
        <v>194</v>
      </c>
      <c r="F156" s="29" t="s">
        <v>194</v>
      </c>
      <c r="X156" s="45" t="str">
        <f t="shared" si="4"/>
        <v>203603</v>
      </c>
      <c r="Y156" s="29" t="s">
        <v>220</v>
      </c>
      <c r="AA156" s="45" t="s">
        <v>764</v>
      </c>
      <c r="AB156" s="29" t="s">
        <v>187</v>
      </c>
    </row>
    <row r="157" spans="2:44" x14ac:dyDescent="0.35">
      <c r="B157" s="45" t="s">
        <v>768</v>
      </c>
      <c r="C157" s="29" t="s">
        <v>194</v>
      </c>
      <c r="D157" s="29" t="s">
        <v>194</v>
      </c>
      <c r="F157" s="29" t="s">
        <v>194</v>
      </c>
      <c r="X157" s="45" t="str">
        <f t="shared" si="4"/>
        <v>2037</v>
      </c>
      <c r="Y157" s="29" t="s">
        <v>19</v>
      </c>
      <c r="AA157" s="45" t="s">
        <v>768</v>
      </c>
      <c r="AB157" s="29" t="s">
        <v>187</v>
      </c>
    </row>
    <row r="158" spans="2:44" x14ac:dyDescent="0.35">
      <c r="B158" s="45" t="s">
        <v>769</v>
      </c>
      <c r="C158" s="29" t="s">
        <v>194</v>
      </c>
      <c r="D158" s="29" t="s">
        <v>194</v>
      </c>
      <c r="F158" s="29" t="s">
        <v>194</v>
      </c>
      <c r="X158" s="45" t="str">
        <f t="shared" si="4"/>
        <v>203701</v>
      </c>
      <c r="Y158" s="29" t="s">
        <v>32</v>
      </c>
      <c r="AA158" s="45" t="s">
        <v>768</v>
      </c>
      <c r="AB158" s="29" t="s">
        <v>187</v>
      </c>
      <c r="AG158" s="29" t="s">
        <v>19</v>
      </c>
      <c r="AH158" s="29" t="s">
        <v>35</v>
      </c>
      <c r="AI158" s="29" t="s">
        <v>189</v>
      </c>
    </row>
    <row r="159" spans="2:44" x14ac:dyDescent="0.35">
      <c r="B159" s="45" t="s">
        <v>770</v>
      </c>
      <c r="C159" s="29" t="s">
        <v>194</v>
      </c>
      <c r="D159" s="29" t="s">
        <v>194</v>
      </c>
      <c r="F159" s="29" t="s">
        <v>194</v>
      </c>
      <c r="X159" s="45" t="str">
        <f t="shared" si="4"/>
        <v>203702</v>
      </c>
      <c r="Y159" s="29" t="s">
        <v>35</v>
      </c>
      <c r="AA159" s="45" t="s">
        <v>768</v>
      </c>
      <c r="AB159" s="29" t="s">
        <v>187</v>
      </c>
      <c r="AF159" s="29" t="s">
        <v>220</v>
      </c>
      <c r="AG159" s="29" t="s">
        <v>19</v>
      </c>
      <c r="AH159" s="29" t="s">
        <v>19</v>
      </c>
      <c r="AI159" s="29" t="s">
        <v>225</v>
      </c>
    </row>
    <row r="160" spans="2:44" x14ac:dyDescent="0.35">
      <c r="B160" s="45" t="s">
        <v>771</v>
      </c>
      <c r="C160" s="29" t="s">
        <v>194</v>
      </c>
      <c r="D160" s="29" t="s">
        <v>194</v>
      </c>
      <c r="F160" s="29" t="s">
        <v>194</v>
      </c>
      <c r="X160" s="45" t="str">
        <f t="shared" si="4"/>
        <v>203703</v>
      </c>
      <c r="Y160" s="29" t="s">
        <v>220</v>
      </c>
      <c r="AA160" s="45" t="s">
        <v>768</v>
      </c>
      <c r="AB160" s="29" t="s">
        <v>187</v>
      </c>
    </row>
    <row r="161" spans="2:46" x14ac:dyDescent="0.35">
      <c r="B161" s="45" t="s">
        <v>772</v>
      </c>
      <c r="C161" s="29" t="s">
        <v>194</v>
      </c>
      <c r="D161" s="29" t="s">
        <v>194</v>
      </c>
      <c r="F161" s="29" t="s">
        <v>194</v>
      </c>
      <c r="X161" s="45" t="s">
        <v>714</v>
      </c>
      <c r="Y161" s="29" t="s">
        <v>19</v>
      </c>
      <c r="AA161" s="45" t="s">
        <v>772</v>
      </c>
      <c r="AB161" s="29" t="s">
        <v>187</v>
      </c>
    </row>
    <row r="162" spans="2:46" x14ac:dyDescent="0.35">
      <c r="B162" s="45" t="s">
        <v>773</v>
      </c>
      <c r="C162" s="29" t="s">
        <v>194</v>
      </c>
      <c r="D162" s="29" t="s">
        <v>194</v>
      </c>
      <c r="F162" s="29" t="s">
        <v>194</v>
      </c>
      <c r="X162" s="45" t="s">
        <v>721</v>
      </c>
      <c r="Y162" s="29" t="s">
        <v>32</v>
      </c>
      <c r="AA162" s="45" t="s">
        <v>772</v>
      </c>
      <c r="AB162" s="29" t="s">
        <v>187</v>
      </c>
      <c r="AE162" s="29" t="s">
        <v>1151</v>
      </c>
      <c r="AG162" s="29" t="s">
        <v>19</v>
      </c>
      <c r="AH162" s="29" t="s">
        <v>1154</v>
      </c>
      <c r="AI162" s="29" t="s">
        <v>189</v>
      </c>
    </row>
    <row r="163" spans="2:46" x14ac:dyDescent="0.35">
      <c r="B163" s="45" t="s">
        <v>774</v>
      </c>
      <c r="C163" s="29" t="s">
        <v>194</v>
      </c>
      <c r="D163" s="29" t="s">
        <v>194</v>
      </c>
      <c r="F163" s="29" t="s">
        <v>194</v>
      </c>
      <c r="X163" s="45" t="s">
        <v>727</v>
      </c>
      <c r="Y163" s="29" t="s">
        <v>35</v>
      </c>
      <c r="AA163" s="45" t="s">
        <v>772</v>
      </c>
      <c r="AB163" s="29" t="s">
        <v>187</v>
      </c>
      <c r="AF163" s="29" t="s">
        <v>1152</v>
      </c>
      <c r="AG163" s="29" t="s">
        <v>19</v>
      </c>
      <c r="AH163" s="29" t="s">
        <v>19</v>
      </c>
      <c r="AI163" s="29" t="s">
        <v>1153</v>
      </c>
    </row>
    <row r="164" spans="2:46" x14ac:dyDescent="0.35">
      <c r="B164" s="45" t="s">
        <v>775</v>
      </c>
      <c r="C164" s="29" t="s">
        <v>194</v>
      </c>
      <c r="D164" s="29" t="s">
        <v>194</v>
      </c>
      <c r="F164" s="29" t="s">
        <v>194</v>
      </c>
      <c r="X164" s="45" t="s">
        <v>727</v>
      </c>
      <c r="Y164" s="29" t="s">
        <v>220</v>
      </c>
      <c r="AA164" s="45" t="s">
        <v>772</v>
      </c>
      <c r="AB164" s="29" t="s">
        <v>187</v>
      </c>
    </row>
    <row r="165" spans="2:46" x14ac:dyDescent="0.35">
      <c r="B165" s="45" t="s">
        <v>776</v>
      </c>
      <c r="C165" s="29" t="s">
        <v>194</v>
      </c>
      <c r="D165" s="29" t="s">
        <v>194</v>
      </c>
      <c r="F165" s="29" t="s">
        <v>194</v>
      </c>
      <c r="X165" s="45" t="str">
        <f t="shared" si="4"/>
        <v>2039</v>
      </c>
      <c r="Y165" s="29" t="s">
        <v>19</v>
      </c>
      <c r="AA165" s="45" t="s">
        <v>776</v>
      </c>
      <c r="AB165" s="29" t="s">
        <v>187</v>
      </c>
    </row>
    <row r="166" spans="2:46" x14ac:dyDescent="0.35">
      <c r="B166" s="45" t="s">
        <v>777</v>
      </c>
      <c r="C166" s="29" t="s">
        <v>194</v>
      </c>
      <c r="D166" s="29" t="s">
        <v>194</v>
      </c>
      <c r="F166" s="29" t="s">
        <v>194</v>
      </c>
      <c r="X166" s="45" t="str">
        <f t="shared" si="4"/>
        <v>203901</v>
      </c>
      <c r="Y166" s="29" t="s">
        <v>32</v>
      </c>
      <c r="AA166" s="45" t="s">
        <v>776</v>
      </c>
      <c r="AB166" s="29" t="s">
        <v>187</v>
      </c>
      <c r="AG166" s="29" t="s">
        <v>19</v>
      </c>
      <c r="AH166" s="29" t="s">
        <v>35</v>
      </c>
      <c r="AI166" s="29" t="s">
        <v>189</v>
      </c>
    </row>
    <row r="167" spans="2:46" x14ac:dyDescent="0.35">
      <c r="B167" s="45" t="s">
        <v>778</v>
      </c>
      <c r="C167" s="29" t="s">
        <v>194</v>
      </c>
      <c r="D167" s="29" t="s">
        <v>194</v>
      </c>
      <c r="F167" s="29" t="s">
        <v>194</v>
      </c>
      <c r="X167" s="45" t="str">
        <f t="shared" si="4"/>
        <v>203902</v>
      </c>
      <c r="Y167" s="29" t="s">
        <v>35</v>
      </c>
      <c r="AA167" s="45" t="s">
        <v>776</v>
      </c>
      <c r="AB167" s="29" t="s">
        <v>187</v>
      </c>
      <c r="AF167" s="29" t="s">
        <v>220</v>
      </c>
      <c r="AG167" s="29" t="s">
        <v>19</v>
      </c>
      <c r="AH167" s="29" t="s">
        <v>19</v>
      </c>
      <c r="AI167" s="29" t="s">
        <v>225</v>
      </c>
    </row>
    <row r="168" spans="2:46" x14ac:dyDescent="0.35">
      <c r="B168" s="45" t="s">
        <v>779</v>
      </c>
      <c r="C168" s="29" t="s">
        <v>194</v>
      </c>
      <c r="D168" s="29" t="s">
        <v>194</v>
      </c>
      <c r="F168" s="29" t="s">
        <v>194</v>
      </c>
      <c r="X168" s="45" t="str">
        <f t="shared" si="4"/>
        <v>203903</v>
      </c>
      <c r="Y168" s="29" t="s">
        <v>220</v>
      </c>
      <c r="AA168" s="45" t="s">
        <v>776</v>
      </c>
      <c r="AB168" s="29" t="s">
        <v>187</v>
      </c>
    </row>
    <row r="169" spans="2:46" ht="71.25" x14ac:dyDescent="0.35">
      <c r="B169" s="45" t="s">
        <v>780</v>
      </c>
      <c r="C169" s="46" t="s">
        <v>1131</v>
      </c>
      <c r="D169" s="29" t="s">
        <v>1132</v>
      </c>
      <c r="E169" s="46" t="s">
        <v>1133</v>
      </c>
      <c r="F169" s="46" t="s">
        <v>1134</v>
      </c>
      <c r="G169" s="56" t="s">
        <v>1135</v>
      </c>
      <c r="H169" s="56" t="s">
        <v>1125</v>
      </c>
      <c r="I169" s="56"/>
      <c r="J169" s="56"/>
      <c r="O169" s="68" t="s">
        <v>1126</v>
      </c>
      <c r="P169" s="68" t="s">
        <v>1136</v>
      </c>
      <c r="Q169" s="68"/>
      <c r="R169" s="68"/>
      <c r="X169" s="45" t="str">
        <f t="shared" si="4"/>
        <v>2040</v>
      </c>
      <c r="Y169" s="29" t="s">
        <v>19</v>
      </c>
      <c r="AA169" s="45" t="s">
        <v>780</v>
      </c>
      <c r="AB169" s="29" t="s">
        <v>187</v>
      </c>
      <c r="AC169" s="29" t="s">
        <v>1137</v>
      </c>
    </row>
    <row r="170" spans="2:46" ht="99.75" x14ac:dyDescent="0.35">
      <c r="B170" s="45" t="s">
        <v>781</v>
      </c>
      <c r="C170" s="46" t="s">
        <v>1138</v>
      </c>
      <c r="D170" s="29" t="s">
        <v>1129</v>
      </c>
      <c r="E170" s="46" t="s">
        <v>1139</v>
      </c>
      <c r="F170" s="46" t="s">
        <v>1140</v>
      </c>
      <c r="G170" s="56" t="s">
        <v>1141</v>
      </c>
      <c r="H170" s="56"/>
      <c r="I170" s="56"/>
      <c r="J170" s="56"/>
      <c r="O170" s="68" t="s">
        <v>1142</v>
      </c>
      <c r="P170" s="68"/>
      <c r="Q170" s="68"/>
      <c r="R170" s="68"/>
      <c r="X170" s="45" t="str">
        <f t="shared" si="4"/>
        <v>204001</v>
      </c>
      <c r="Y170" s="29" t="s">
        <v>32</v>
      </c>
      <c r="AA170" s="45" t="s">
        <v>780</v>
      </c>
      <c r="AB170" s="29" t="s">
        <v>187</v>
      </c>
      <c r="AG170" s="29" t="s">
        <v>19</v>
      </c>
      <c r="AH170" s="29" t="s">
        <v>1130</v>
      </c>
      <c r="AI170" s="29" t="s">
        <v>189</v>
      </c>
      <c r="AP170" s="45" t="s">
        <v>782</v>
      </c>
      <c r="AQ170" s="29" t="s">
        <v>1143</v>
      </c>
    </row>
    <row r="171" spans="2:46" ht="71.25" x14ac:dyDescent="0.35">
      <c r="B171" s="45" t="s">
        <v>783</v>
      </c>
      <c r="C171" s="46" t="s">
        <v>1144</v>
      </c>
      <c r="D171" s="29" t="s">
        <v>1145</v>
      </c>
      <c r="E171" s="46" t="s">
        <v>1146</v>
      </c>
      <c r="F171" s="46" t="s">
        <v>1147</v>
      </c>
      <c r="G171" s="56" t="s">
        <v>1127</v>
      </c>
      <c r="H171" s="56" t="s">
        <v>1148</v>
      </c>
      <c r="I171" s="56"/>
      <c r="J171" s="56"/>
      <c r="O171" s="68" t="s">
        <v>1128</v>
      </c>
      <c r="P171" s="68" t="s">
        <v>1149</v>
      </c>
      <c r="Q171" s="68"/>
      <c r="R171" s="68"/>
      <c r="X171" s="45" t="str">
        <f t="shared" si="4"/>
        <v>204002</v>
      </c>
      <c r="Y171" s="29" t="s">
        <v>35</v>
      </c>
      <c r="AA171" s="45" t="s">
        <v>780</v>
      </c>
      <c r="AB171" s="29" t="s">
        <v>187</v>
      </c>
      <c r="AC171" s="29" t="s">
        <v>1137</v>
      </c>
      <c r="AF171" s="29" t="s">
        <v>1150</v>
      </c>
      <c r="AP171" s="45">
        <v>2040</v>
      </c>
    </row>
    <row r="172" spans="2:46" x14ac:dyDescent="0.35">
      <c r="B172" s="45" t="s">
        <v>784</v>
      </c>
      <c r="C172" s="29" t="s">
        <v>194</v>
      </c>
      <c r="D172" s="29" t="s">
        <v>194</v>
      </c>
      <c r="F172" s="29" t="s">
        <v>194</v>
      </c>
      <c r="X172" s="45" t="str">
        <f t="shared" si="4"/>
        <v>204003</v>
      </c>
      <c r="Y172" s="29" t="s">
        <v>220</v>
      </c>
      <c r="AA172" s="45" t="s">
        <v>780</v>
      </c>
      <c r="AB172" s="29" t="s">
        <v>187</v>
      </c>
    </row>
    <row r="173" spans="2:46" ht="171" x14ac:dyDescent="0.2">
      <c r="B173" s="45">
        <v>2046</v>
      </c>
      <c r="C173" s="29" t="s">
        <v>785</v>
      </c>
      <c r="D173" s="29" t="s">
        <v>785</v>
      </c>
      <c r="E173" s="46" t="s">
        <v>786</v>
      </c>
      <c r="F173" s="46" t="s">
        <v>787</v>
      </c>
      <c r="G173" s="58" t="s">
        <v>788</v>
      </c>
      <c r="H173" s="58" t="s">
        <v>789</v>
      </c>
      <c r="I173" s="58" t="s">
        <v>790</v>
      </c>
      <c r="J173" s="58" t="s">
        <v>791</v>
      </c>
      <c r="K173" s="83"/>
      <c r="L173" s="83"/>
      <c r="M173" s="83"/>
      <c r="N173" s="83"/>
      <c r="O173" s="83" t="s">
        <v>238</v>
      </c>
      <c r="P173" s="83" t="s">
        <v>239</v>
      </c>
      <c r="Q173" s="83" t="s">
        <v>240</v>
      </c>
      <c r="R173" s="83" t="s">
        <v>241</v>
      </c>
      <c r="S173" s="84"/>
      <c r="T173" s="84"/>
      <c r="U173" s="84"/>
      <c r="V173" s="84"/>
      <c r="W173" s="45" t="str">
        <f>"skillvideo/skillvideo_"&amp;B173&amp;".mp4"</f>
        <v>skillvideo/skillvideo_2046.mp4</v>
      </c>
      <c r="X173" s="45">
        <f t="shared" si="4"/>
        <v>2046</v>
      </c>
      <c r="Y173" s="29" t="s">
        <v>19</v>
      </c>
      <c r="AA173" s="45">
        <v>2046</v>
      </c>
      <c r="AB173" s="29" t="s">
        <v>187</v>
      </c>
      <c r="AC173" s="29" t="s">
        <v>792</v>
      </c>
      <c r="AR173" s="29" t="s">
        <v>242</v>
      </c>
    </row>
    <row r="174" spans="2:46" ht="114.75" customHeight="1" x14ac:dyDescent="0.35">
      <c r="B174" s="45">
        <v>204601</v>
      </c>
      <c r="C174" s="29" t="s">
        <v>793</v>
      </c>
      <c r="D174" s="29" t="s">
        <v>793</v>
      </c>
      <c r="E174" s="46" t="s">
        <v>794</v>
      </c>
      <c r="F174" s="57" t="s">
        <v>795</v>
      </c>
      <c r="G174" s="58" t="s">
        <v>796</v>
      </c>
      <c r="O174" s="83" t="s">
        <v>248</v>
      </c>
      <c r="P174" s="83"/>
      <c r="W174" s="45" t="str">
        <f>"skillvideo/skillvideo_"&amp;B174&amp;".mp4"</f>
        <v>skillvideo/skillvideo_204601.mp4</v>
      </c>
      <c r="X174" s="45">
        <f t="shared" si="4"/>
        <v>204601</v>
      </c>
      <c r="Y174" s="29" t="s">
        <v>32</v>
      </c>
      <c r="AA174" s="45">
        <v>2046</v>
      </c>
      <c r="AB174" s="29" t="s">
        <v>187</v>
      </c>
      <c r="AC174" s="29" t="s">
        <v>19</v>
      </c>
      <c r="AE174" s="29" t="s">
        <v>187</v>
      </c>
      <c r="AF174" s="29" t="s">
        <v>217</v>
      </c>
      <c r="AG174" s="29" t="s">
        <v>19</v>
      </c>
      <c r="AH174" s="29" t="s">
        <v>35</v>
      </c>
      <c r="AI174" s="29" t="s">
        <v>249</v>
      </c>
      <c r="AP174" s="131" t="s">
        <v>797</v>
      </c>
      <c r="AQ174" s="29" t="s">
        <v>19</v>
      </c>
    </row>
    <row r="175" spans="2:46" ht="137.25" customHeight="1" x14ac:dyDescent="0.35">
      <c r="B175" s="45">
        <v>204602</v>
      </c>
      <c r="C175" s="29" t="s">
        <v>798</v>
      </c>
      <c r="D175" s="29" t="s">
        <v>798</v>
      </c>
      <c r="E175" s="46" t="s">
        <v>799</v>
      </c>
      <c r="F175" s="46" t="s">
        <v>800</v>
      </c>
      <c r="G175" s="58" t="s">
        <v>801</v>
      </c>
      <c r="H175" s="58" t="s">
        <v>802</v>
      </c>
      <c r="I175" s="132" t="s">
        <v>803</v>
      </c>
      <c r="O175" s="83" t="s">
        <v>804</v>
      </c>
      <c r="P175" s="83" t="s">
        <v>248</v>
      </c>
      <c r="Q175" s="83" t="s">
        <v>805</v>
      </c>
      <c r="W175" s="45" t="str">
        <f>"skillvideo/skillvideo_"&amp;B175&amp;".mp4"</f>
        <v>skillvideo/skillvideo_204602.mp4</v>
      </c>
      <c r="X175" s="45">
        <f t="shared" si="4"/>
        <v>204602</v>
      </c>
      <c r="Y175" s="29" t="s">
        <v>35</v>
      </c>
      <c r="AA175" s="45">
        <v>2046</v>
      </c>
      <c r="AB175" s="29" t="s">
        <v>187</v>
      </c>
      <c r="AC175" s="29" t="s">
        <v>806</v>
      </c>
      <c r="AE175" s="29" t="s">
        <v>187</v>
      </c>
      <c r="AF175" s="29" t="s">
        <v>19</v>
      </c>
      <c r="AG175" s="29" t="s">
        <v>19</v>
      </c>
      <c r="AH175" s="29" t="s">
        <v>19</v>
      </c>
      <c r="AI175" s="29" t="s">
        <v>220</v>
      </c>
      <c r="AP175" s="45">
        <v>2046</v>
      </c>
      <c r="AR175" s="29" t="s">
        <v>32</v>
      </c>
      <c r="AT175" s="29" t="s">
        <v>314</v>
      </c>
    </row>
    <row r="176" spans="2:46" x14ac:dyDescent="0.35">
      <c r="B176" s="45">
        <v>204603</v>
      </c>
      <c r="C176" s="46" t="s">
        <v>1155</v>
      </c>
      <c r="D176" s="29" t="s">
        <v>1156</v>
      </c>
      <c r="E176" s="57" t="s">
        <v>1156</v>
      </c>
      <c r="F176" s="57" t="s">
        <v>1156</v>
      </c>
      <c r="G176" s="56"/>
      <c r="H176" s="56"/>
      <c r="I176" s="56"/>
      <c r="J176" s="56"/>
      <c r="O176" s="68"/>
      <c r="P176" s="68"/>
      <c r="Q176" s="68"/>
      <c r="R176" s="68"/>
      <c r="X176" s="45">
        <v>204602</v>
      </c>
      <c r="Y176" s="29" t="s">
        <v>220</v>
      </c>
      <c r="Z176" s="29" t="s">
        <v>35</v>
      </c>
      <c r="AA176" s="45">
        <v>2046</v>
      </c>
      <c r="AB176" s="29" t="s">
        <v>187</v>
      </c>
      <c r="AK176" s="40" t="s">
        <v>221</v>
      </c>
    </row>
    <row r="177" spans="2:42" x14ac:dyDescent="0.35">
      <c r="B177" s="45">
        <v>204604</v>
      </c>
      <c r="C177" s="29" t="s">
        <v>807</v>
      </c>
      <c r="D177" s="29" t="s">
        <v>807</v>
      </c>
      <c r="F177" s="29" t="s">
        <v>807</v>
      </c>
      <c r="X177" s="45">
        <f t="shared" si="4"/>
        <v>204604</v>
      </c>
      <c r="Y177" s="29" t="s">
        <v>35</v>
      </c>
      <c r="AA177" s="45">
        <v>2046</v>
      </c>
      <c r="AB177" s="29" t="s">
        <v>187</v>
      </c>
    </row>
    <row r="178" spans="2:42" x14ac:dyDescent="0.35">
      <c r="B178" s="45">
        <v>2050</v>
      </c>
      <c r="C178" s="29" t="s">
        <v>194</v>
      </c>
      <c r="D178" s="29" t="s">
        <v>194</v>
      </c>
      <c r="F178" s="77" t="s">
        <v>194</v>
      </c>
      <c r="Y178" s="29" t="s">
        <v>19</v>
      </c>
      <c r="AA178" s="45">
        <v>2050</v>
      </c>
      <c r="AB178" s="29" t="s">
        <v>187</v>
      </c>
    </row>
    <row r="179" spans="2:42" x14ac:dyDescent="0.35">
      <c r="B179" s="45">
        <v>205001</v>
      </c>
      <c r="C179" s="29" t="s">
        <v>194</v>
      </c>
      <c r="D179" s="29" t="s">
        <v>194</v>
      </c>
      <c r="F179" s="77" t="s">
        <v>194</v>
      </c>
      <c r="Y179" s="29" t="s">
        <v>32</v>
      </c>
      <c r="AA179" s="45">
        <v>2050</v>
      </c>
      <c r="AB179" s="29" t="s">
        <v>187</v>
      </c>
    </row>
    <row r="180" spans="2:42" x14ac:dyDescent="0.35">
      <c r="B180" s="45">
        <v>205002</v>
      </c>
      <c r="C180" s="29" t="s">
        <v>194</v>
      </c>
      <c r="D180" s="29" t="s">
        <v>194</v>
      </c>
      <c r="F180" s="77" t="s">
        <v>194</v>
      </c>
      <c r="Y180" s="29" t="s">
        <v>35</v>
      </c>
      <c r="AA180" s="45">
        <v>2050</v>
      </c>
      <c r="AB180" s="29" t="s">
        <v>187</v>
      </c>
    </row>
    <row r="181" spans="2:42" x14ac:dyDescent="0.35">
      <c r="B181" s="45">
        <v>2052</v>
      </c>
      <c r="C181" s="29" t="s">
        <v>194</v>
      </c>
      <c r="D181" s="29" t="s">
        <v>194</v>
      </c>
      <c r="F181" s="29" t="s">
        <v>194</v>
      </c>
      <c r="X181" s="45">
        <f t="shared" ref="X181:X184" si="5">B181</f>
        <v>2052</v>
      </c>
      <c r="Y181" s="29" t="s">
        <v>19</v>
      </c>
      <c r="AA181" s="45">
        <v>2052</v>
      </c>
      <c r="AB181" s="29" t="s">
        <v>187</v>
      </c>
    </row>
    <row r="182" spans="2:42" x14ac:dyDescent="0.35">
      <c r="B182" s="45">
        <v>20521</v>
      </c>
      <c r="C182" s="29" t="s">
        <v>194</v>
      </c>
      <c r="D182" s="29" t="s">
        <v>194</v>
      </c>
      <c r="F182" s="29" t="s">
        <v>194</v>
      </c>
      <c r="X182" s="45">
        <v>2052</v>
      </c>
      <c r="Y182" s="29" t="s">
        <v>19</v>
      </c>
      <c r="AA182" s="45">
        <v>2052</v>
      </c>
      <c r="AB182" s="29" t="s">
        <v>187</v>
      </c>
    </row>
    <row r="183" spans="2:42" x14ac:dyDescent="0.35">
      <c r="B183" s="45">
        <v>205201</v>
      </c>
      <c r="C183" s="29" t="s">
        <v>194</v>
      </c>
      <c r="D183" s="29" t="s">
        <v>194</v>
      </c>
      <c r="F183" s="29" t="s">
        <v>194</v>
      </c>
      <c r="X183" s="45">
        <f t="shared" si="5"/>
        <v>205201</v>
      </c>
      <c r="Y183" s="29" t="s">
        <v>32</v>
      </c>
      <c r="AA183" s="45">
        <v>2052</v>
      </c>
      <c r="AB183" s="29" t="s">
        <v>187</v>
      </c>
      <c r="AG183" s="29" t="s">
        <v>19</v>
      </c>
      <c r="AH183" s="29" t="s">
        <v>19</v>
      </c>
      <c r="AI183" s="29" t="s">
        <v>808</v>
      </c>
    </row>
    <row r="184" spans="2:42" x14ac:dyDescent="0.35">
      <c r="B184" s="45">
        <v>205202</v>
      </c>
      <c r="C184" s="29" t="s">
        <v>194</v>
      </c>
      <c r="D184" s="29" t="s">
        <v>194</v>
      </c>
      <c r="F184" s="29" t="s">
        <v>194</v>
      </c>
      <c r="X184" s="45">
        <f t="shared" si="5"/>
        <v>205202</v>
      </c>
      <c r="Y184" s="29" t="s">
        <v>35</v>
      </c>
      <c r="AA184" s="45">
        <v>2052</v>
      </c>
      <c r="AB184" s="29" t="s">
        <v>187</v>
      </c>
      <c r="AF184" s="29" t="s">
        <v>220</v>
      </c>
      <c r="AG184" s="29" t="s">
        <v>19</v>
      </c>
      <c r="AH184" s="29" t="s">
        <v>19</v>
      </c>
      <c r="AI184" s="29" t="s">
        <v>809</v>
      </c>
    </row>
    <row r="185" spans="2:42" s="135" customFormat="1" x14ac:dyDescent="0.35">
      <c r="B185" s="136" t="s">
        <v>811</v>
      </c>
      <c r="C185" s="135" t="s">
        <v>1122</v>
      </c>
      <c r="D185" s="135" t="s">
        <v>1116</v>
      </c>
      <c r="E185" s="137"/>
      <c r="F185" s="135" t="s">
        <v>1118</v>
      </c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9"/>
      <c r="T185" s="139"/>
      <c r="U185" s="139"/>
      <c r="V185" s="139"/>
      <c r="W185" s="139"/>
      <c r="X185" s="136"/>
      <c r="Y185" s="135" t="s">
        <v>35</v>
      </c>
      <c r="AA185" s="136" t="s">
        <v>810</v>
      </c>
      <c r="AB185" s="135" t="s">
        <v>187</v>
      </c>
      <c r="AO185" s="137"/>
      <c r="AP185" s="136"/>
    </row>
    <row r="186" spans="2:42" s="135" customFormat="1" x14ac:dyDescent="0.35">
      <c r="B186" s="136">
        <v>300102</v>
      </c>
      <c r="C186" s="135" t="s">
        <v>1115</v>
      </c>
      <c r="D186" s="135" t="s">
        <v>1116</v>
      </c>
      <c r="E186" s="137"/>
      <c r="F186" s="135" t="s">
        <v>1118</v>
      </c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9"/>
      <c r="T186" s="139"/>
      <c r="U186" s="139"/>
      <c r="V186" s="139"/>
      <c r="W186" s="139"/>
      <c r="X186" s="136"/>
      <c r="Y186" s="135" t="s">
        <v>19</v>
      </c>
      <c r="AA186" s="136" t="s">
        <v>810</v>
      </c>
      <c r="AB186" s="135" t="s">
        <v>187</v>
      </c>
      <c r="AE186" s="135" t="s">
        <v>1124</v>
      </c>
      <c r="AF186" s="135" t="s">
        <v>1120</v>
      </c>
      <c r="AO186" s="137"/>
      <c r="AP186" s="136"/>
    </row>
    <row r="187" spans="2:42" s="135" customFormat="1" x14ac:dyDescent="0.35">
      <c r="B187" s="136">
        <v>300103</v>
      </c>
      <c r="C187" s="135" t="s">
        <v>1115</v>
      </c>
      <c r="D187" s="135" t="s">
        <v>1117</v>
      </c>
      <c r="E187" s="137"/>
      <c r="F187" s="135" t="s">
        <v>1119</v>
      </c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9"/>
      <c r="T187" s="139"/>
      <c r="U187" s="139"/>
      <c r="V187" s="139"/>
      <c r="W187" s="139"/>
      <c r="X187" s="136"/>
      <c r="Y187" s="135" t="s">
        <v>19</v>
      </c>
      <c r="AA187" s="136" t="s">
        <v>810</v>
      </c>
      <c r="AB187" s="135" t="s">
        <v>187</v>
      </c>
      <c r="AO187" s="137"/>
      <c r="AP187" s="136"/>
    </row>
    <row r="188" spans="2:42" s="135" customFormat="1" x14ac:dyDescent="0.35">
      <c r="B188" s="136">
        <v>300104</v>
      </c>
      <c r="C188" s="135" t="s">
        <v>1121</v>
      </c>
      <c r="D188" s="135" t="s">
        <v>1116</v>
      </c>
      <c r="E188" s="137"/>
      <c r="F188" s="135" t="s">
        <v>1118</v>
      </c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9"/>
      <c r="T188" s="139"/>
      <c r="U188" s="139"/>
      <c r="V188" s="139"/>
      <c r="W188" s="139"/>
      <c r="X188" s="136"/>
      <c r="Y188" s="135" t="s">
        <v>19</v>
      </c>
      <c r="AA188" s="136" t="s">
        <v>810</v>
      </c>
      <c r="AB188" s="135" t="s">
        <v>187</v>
      </c>
      <c r="AE188" s="135" t="s">
        <v>1124</v>
      </c>
      <c r="AF188" s="135" t="s">
        <v>1123</v>
      </c>
      <c r="AO188" s="137"/>
      <c r="AP188" s="136"/>
    </row>
    <row r="189" spans="2:42" x14ac:dyDescent="0.35">
      <c r="B189" s="45">
        <v>3002</v>
      </c>
      <c r="C189" s="29" t="s">
        <v>194</v>
      </c>
      <c r="D189" s="29" t="s">
        <v>194</v>
      </c>
      <c r="F189" s="29" t="s">
        <v>194</v>
      </c>
      <c r="X189" s="45">
        <v>2001</v>
      </c>
      <c r="Y189" s="29" t="s">
        <v>19</v>
      </c>
      <c r="AA189" s="45" t="s">
        <v>812</v>
      </c>
      <c r="AB189" s="29" t="s">
        <v>187</v>
      </c>
    </row>
    <row r="190" spans="2:42" x14ac:dyDescent="0.35">
      <c r="B190" s="45">
        <v>300201</v>
      </c>
      <c r="C190" s="29" t="s">
        <v>194</v>
      </c>
      <c r="D190" s="29" t="s">
        <v>194</v>
      </c>
      <c r="F190" s="29" t="s">
        <v>194</v>
      </c>
      <c r="X190" s="45">
        <v>2001</v>
      </c>
      <c r="Y190" s="29" t="s">
        <v>19</v>
      </c>
      <c r="AA190" s="45" t="s">
        <v>812</v>
      </c>
      <c r="AB190" s="29" t="s">
        <v>187</v>
      </c>
    </row>
    <row r="191" spans="2:42" x14ac:dyDescent="0.35">
      <c r="B191" s="45">
        <v>3003</v>
      </c>
      <c r="C191" s="29" t="s">
        <v>194</v>
      </c>
      <c r="D191" s="29" t="s">
        <v>194</v>
      </c>
      <c r="F191" s="29" t="s">
        <v>194</v>
      </c>
      <c r="X191" s="45">
        <v>2001</v>
      </c>
      <c r="Y191" s="29" t="s">
        <v>19</v>
      </c>
      <c r="AA191" s="45" t="s">
        <v>813</v>
      </c>
      <c r="AB191" s="29" t="s">
        <v>187</v>
      </c>
    </row>
    <row r="192" spans="2:42" x14ac:dyDescent="0.35">
      <c r="B192" s="45">
        <v>300301</v>
      </c>
      <c r="C192" s="29" t="s">
        <v>194</v>
      </c>
      <c r="D192" s="29" t="s">
        <v>194</v>
      </c>
      <c r="F192" s="29" t="s">
        <v>194</v>
      </c>
      <c r="X192" s="45">
        <v>2001</v>
      </c>
      <c r="Y192" s="29" t="s">
        <v>19</v>
      </c>
      <c r="AA192" s="45" t="s">
        <v>813</v>
      </c>
      <c r="AB192" s="29" t="s">
        <v>187</v>
      </c>
    </row>
    <row r="193" spans="1:42" x14ac:dyDescent="0.35">
      <c r="B193" s="45">
        <v>3004</v>
      </c>
      <c r="C193" s="29" t="s">
        <v>194</v>
      </c>
      <c r="D193" s="29" t="s">
        <v>194</v>
      </c>
      <c r="F193" s="29" t="s">
        <v>194</v>
      </c>
      <c r="X193" s="45">
        <v>2001</v>
      </c>
      <c r="Y193" s="29" t="s">
        <v>19</v>
      </c>
      <c r="AA193" s="45" t="s">
        <v>814</v>
      </c>
      <c r="AB193" s="29" t="s">
        <v>187</v>
      </c>
    </row>
    <row r="194" spans="1:42" x14ac:dyDescent="0.35">
      <c r="B194" s="45">
        <v>300401</v>
      </c>
      <c r="C194" s="29" t="s">
        <v>194</v>
      </c>
      <c r="D194" s="29" t="s">
        <v>194</v>
      </c>
      <c r="F194" s="29" t="s">
        <v>194</v>
      </c>
      <c r="X194" s="45">
        <v>2001</v>
      </c>
      <c r="Y194" s="29" t="s">
        <v>19</v>
      </c>
      <c r="AA194" s="45" t="s">
        <v>814</v>
      </c>
      <c r="AB194" s="29" t="s">
        <v>187</v>
      </c>
    </row>
    <row r="195" spans="1:42" s="25" customFormat="1" x14ac:dyDescent="0.35">
      <c r="B195" s="74">
        <v>300504</v>
      </c>
      <c r="C195" s="25" t="s">
        <v>815</v>
      </c>
      <c r="D195" s="25" t="s">
        <v>816</v>
      </c>
      <c r="E195" s="75"/>
      <c r="F195" s="25" t="s">
        <v>194</v>
      </c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85"/>
      <c r="T195" s="85"/>
      <c r="U195" s="85"/>
      <c r="V195" s="85"/>
      <c r="W195" s="85"/>
      <c r="Y195" s="29" t="s">
        <v>35</v>
      </c>
      <c r="Z195" s="29"/>
      <c r="AA195" s="86">
        <v>3005</v>
      </c>
      <c r="AB195" s="29" t="s">
        <v>19</v>
      </c>
      <c r="AE195" s="25" t="s">
        <v>187</v>
      </c>
      <c r="AF195" s="25" t="s">
        <v>808</v>
      </c>
      <c r="AO195" s="75"/>
      <c r="AP195" s="86"/>
    </row>
    <row r="196" spans="1:42" ht="16.5" x14ac:dyDescent="0.2">
      <c r="B196" s="45">
        <v>300503</v>
      </c>
      <c r="C196" s="29" t="s">
        <v>817</v>
      </c>
      <c r="D196" s="29" t="s">
        <v>818</v>
      </c>
      <c r="F196" s="77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7"/>
      <c r="T196" s="77"/>
      <c r="U196" s="77"/>
      <c r="V196" s="77"/>
      <c r="W196" s="77"/>
      <c r="X196" s="29">
        <v>2001</v>
      </c>
      <c r="Y196" s="29">
        <v>3</v>
      </c>
      <c r="AA196" s="45">
        <v>3005</v>
      </c>
      <c r="AB196" s="29">
        <v>0</v>
      </c>
      <c r="AD196" s="29" t="s">
        <v>189</v>
      </c>
      <c r="AE196" s="29" t="s">
        <v>19</v>
      </c>
      <c r="AF196" s="29" t="s">
        <v>209</v>
      </c>
    </row>
    <row r="197" spans="1:42" ht="16.5" x14ac:dyDescent="0.2">
      <c r="A197" s="79"/>
      <c r="B197" s="79">
        <v>300501</v>
      </c>
      <c r="C197" s="79" t="s">
        <v>819</v>
      </c>
      <c r="D197" s="79" t="s">
        <v>820</v>
      </c>
      <c r="E197" s="80"/>
      <c r="F197" s="81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1"/>
      <c r="T197" s="81"/>
      <c r="U197" s="81"/>
      <c r="V197" s="81"/>
      <c r="W197" s="81"/>
      <c r="X197" s="79">
        <v>2001</v>
      </c>
      <c r="Y197" s="79">
        <v>3</v>
      </c>
      <c r="Z197" s="79"/>
      <c r="AA197" s="79">
        <v>3005</v>
      </c>
      <c r="AB197" s="79">
        <v>0</v>
      </c>
      <c r="AE197" s="29" t="s">
        <v>19</v>
      </c>
      <c r="AF197" s="29" t="s">
        <v>35</v>
      </c>
    </row>
    <row r="198" spans="1:42" x14ac:dyDescent="0.35">
      <c r="B198" s="45">
        <v>400101</v>
      </c>
      <c r="C198" s="29" t="s">
        <v>194</v>
      </c>
      <c r="D198" s="29" t="s">
        <v>194</v>
      </c>
      <c r="X198" s="45">
        <v>2001</v>
      </c>
      <c r="Y198" s="29" t="s">
        <v>19</v>
      </c>
      <c r="AA198" s="45" t="s">
        <v>821</v>
      </c>
      <c r="AB198" s="29" t="s">
        <v>187</v>
      </c>
    </row>
    <row r="199" spans="1:42" x14ac:dyDescent="0.35">
      <c r="B199" s="45">
        <v>400102</v>
      </c>
      <c r="C199" s="29" t="s">
        <v>194</v>
      </c>
      <c r="D199" s="29" t="s">
        <v>194</v>
      </c>
      <c r="X199" s="45">
        <v>2001</v>
      </c>
      <c r="Y199" s="29" t="s">
        <v>19</v>
      </c>
      <c r="AA199" s="45" t="s">
        <v>821</v>
      </c>
      <c r="AB199" s="29" t="s">
        <v>187</v>
      </c>
    </row>
    <row r="200" spans="1:42" x14ac:dyDescent="0.35">
      <c r="B200" s="45">
        <v>400103</v>
      </c>
      <c r="C200" s="29" t="s">
        <v>194</v>
      </c>
      <c r="D200" s="29" t="s">
        <v>194</v>
      </c>
      <c r="X200" s="45">
        <v>2001</v>
      </c>
      <c r="Y200" s="29" t="s">
        <v>19</v>
      </c>
      <c r="AA200" s="45" t="s">
        <v>821</v>
      </c>
      <c r="AB200" s="29" t="s">
        <v>187</v>
      </c>
    </row>
    <row r="201" spans="1:42" x14ac:dyDescent="0.35">
      <c r="B201" s="45">
        <v>450001</v>
      </c>
      <c r="C201" s="29" t="s">
        <v>822</v>
      </c>
      <c r="X201" s="45">
        <v>2001</v>
      </c>
      <c r="Y201" s="29" t="s">
        <v>19</v>
      </c>
      <c r="AA201" s="45">
        <v>4500</v>
      </c>
      <c r="AB201" s="29" t="s">
        <v>187</v>
      </c>
    </row>
    <row r="202" spans="1:42" x14ac:dyDescent="0.35">
      <c r="B202" s="45">
        <v>450002</v>
      </c>
      <c r="C202" s="29" t="s">
        <v>823</v>
      </c>
      <c r="X202" s="45">
        <v>2001</v>
      </c>
      <c r="Y202" s="29" t="s">
        <v>19</v>
      </c>
      <c r="AA202" s="45">
        <v>4500</v>
      </c>
      <c r="AB202" s="29" t="s">
        <v>187</v>
      </c>
    </row>
    <row r="203" spans="1:42" x14ac:dyDescent="0.35">
      <c r="B203" s="45">
        <v>450003</v>
      </c>
      <c r="C203" s="29" t="s">
        <v>824</v>
      </c>
      <c r="X203" s="45">
        <v>2001</v>
      </c>
      <c r="Y203" s="29" t="s">
        <v>19</v>
      </c>
      <c r="AA203" s="45">
        <v>4500</v>
      </c>
      <c r="AB203" s="29" t="s">
        <v>187</v>
      </c>
    </row>
    <row r="204" spans="1:42" x14ac:dyDescent="0.35">
      <c r="B204" s="45">
        <v>20050101</v>
      </c>
      <c r="C204" s="29" t="s">
        <v>825</v>
      </c>
      <c r="F204" s="29"/>
      <c r="X204" s="45">
        <v>2001</v>
      </c>
      <c r="Y204" s="29" t="s">
        <v>19</v>
      </c>
      <c r="AA204" s="45">
        <v>200501</v>
      </c>
      <c r="AB204" s="29" t="s">
        <v>187</v>
      </c>
    </row>
    <row r="205" spans="1:42" x14ac:dyDescent="0.35">
      <c r="B205" s="45">
        <v>20050102</v>
      </c>
      <c r="C205" s="29" t="s">
        <v>825</v>
      </c>
      <c r="F205" s="29"/>
      <c r="X205" s="45">
        <v>2001</v>
      </c>
      <c r="Y205" s="29" t="s">
        <v>19</v>
      </c>
      <c r="AA205" s="45">
        <v>200501</v>
      </c>
      <c r="AB205" s="29" t="s">
        <v>187</v>
      </c>
    </row>
    <row r="206" spans="1:42" x14ac:dyDescent="0.35">
      <c r="B206" s="45">
        <v>20050201</v>
      </c>
      <c r="C206" s="29" t="s">
        <v>826</v>
      </c>
      <c r="F206" s="29"/>
      <c r="X206" s="45">
        <v>2001</v>
      </c>
      <c r="Y206" s="29" t="s">
        <v>19</v>
      </c>
      <c r="AA206" s="45">
        <v>200502</v>
      </c>
      <c r="AB206" s="29" t="s">
        <v>187</v>
      </c>
    </row>
    <row r="207" spans="1:42" s="24" customFormat="1" x14ac:dyDescent="0.35">
      <c r="B207" s="74">
        <v>20520101</v>
      </c>
      <c r="C207" s="24" t="s">
        <v>827</v>
      </c>
      <c r="E207" s="87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108"/>
      <c r="T207" s="108"/>
      <c r="U207" s="108"/>
      <c r="V207" s="108"/>
      <c r="W207" s="108"/>
      <c r="X207" s="74">
        <v>2001</v>
      </c>
      <c r="Y207" s="29" t="s">
        <v>19</v>
      </c>
      <c r="Z207" s="29"/>
      <c r="AA207" s="74">
        <v>205201</v>
      </c>
      <c r="AB207" s="29" t="s">
        <v>187</v>
      </c>
      <c r="AO207" s="87"/>
      <c r="AP207" s="74"/>
    </row>
    <row r="208" spans="1:42" s="24" customFormat="1" x14ac:dyDescent="0.35">
      <c r="B208" s="74">
        <v>20520201</v>
      </c>
      <c r="C208" s="24" t="s">
        <v>828</v>
      </c>
      <c r="E208" s="87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108"/>
      <c r="T208" s="108"/>
      <c r="U208" s="108"/>
      <c r="V208" s="108"/>
      <c r="W208" s="108"/>
      <c r="X208" s="74">
        <v>2001</v>
      </c>
      <c r="Y208" s="29" t="s">
        <v>19</v>
      </c>
      <c r="Z208" s="29"/>
      <c r="AA208" s="74">
        <v>205202</v>
      </c>
      <c r="AB208" s="29" t="s">
        <v>187</v>
      </c>
      <c r="AO208" s="87"/>
      <c r="AP208" s="74"/>
    </row>
    <row r="209" spans="2:42" s="24" customFormat="1" x14ac:dyDescent="0.35">
      <c r="B209" s="74">
        <v>800101</v>
      </c>
      <c r="C209" s="24" t="s">
        <v>829</v>
      </c>
      <c r="E209" s="87"/>
      <c r="F209" s="24" t="s">
        <v>194</v>
      </c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108"/>
      <c r="T209" s="108"/>
      <c r="U209" s="108"/>
      <c r="V209" s="108"/>
      <c r="W209" s="108"/>
      <c r="X209" s="74">
        <v>2001</v>
      </c>
      <c r="Y209" s="29" t="s">
        <v>19</v>
      </c>
      <c r="Z209" s="29"/>
      <c r="AA209" s="74">
        <v>8001</v>
      </c>
      <c r="AB209" s="29" t="s">
        <v>187</v>
      </c>
      <c r="AO209" s="87"/>
      <c r="AP209" s="74"/>
    </row>
    <row r="210" spans="2:42" x14ac:dyDescent="0.35">
      <c r="B210" s="45">
        <v>800102</v>
      </c>
      <c r="C210" s="29" t="s">
        <v>830</v>
      </c>
      <c r="F210" s="77" t="s">
        <v>194</v>
      </c>
      <c r="X210" s="29">
        <v>2001</v>
      </c>
      <c r="Y210" s="29" t="s">
        <v>32</v>
      </c>
      <c r="AA210" s="45">
        <v>8001</v>
      </c>
      <c r="AB210" s="29" t="s">
        <v>187</v>
      </c>
    </row>
    <row r="211" spans="2:42" s="24" customFormat="1" x14ac:dyDescent="0.35">
      <c r="B211" s="74">
        <v>800401</v>
      </c>
      <c r="C211" s="24" t="s">
        <v>831</v>
      </c>
      <c r="E211" s="87"/>
      <c r="F211" s="24" t="s">
        <v>194</v>
      </c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108"/>
      <c r="T211" s="108"/>
      <c r="U211" s="108"/>
      <c r="V211" s="108"/>
      <c r="W211" s="108"/>
      <c r="X211" s="74">
        <v>2001</v>
      </c>
      <c r="Y211" s="29" t="s">
        <v>19</v>
      </c>
      <c r="Z211" s="29"/>
      <c r="AA211" s="74">
        <v>8004</v>
      </c>
      <c r="AB211" s="29" t="s">
        <v>187</v>
      </c>
      <c r="AO211" s="87"/>
      <c r="AP211" s="74"/>
    </row>
    <row r="212" spans="2:42" x14ac:dyDescent="0.35">
      <c r="B212" s="45">
        <v>800402</v>
      </c>
      <c r="C212" s="29" t="s">
        <v>832</v>
      </c>
      <c r="F212" s="77" t="s">
        <v>194</v>
      </c>
      <c r="X212" s="29">
        <v>2001</v>
      </c>
      <c r="Y212" s="29" t="s">
        <v>32</v>
      </c>
      <c r="AA212" s="45">
        <v>8004</v>
      </c>
      <c r="AB212" s="29" t="s">
        <v>187</v>
      </c>
    </row>
    <row r="213" spans="2:42" s="25" customFormat="1" x14ac:dyDescent="0.35">
      <c r="B213" s="86">
        <v>300601</v>
      </c>
      <c r="C213" s="25" t="s">
        <v>833</v>
      </c>
      <c r="E213" s="75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85"/>
      <c r="T213" s="85"/>
      <c r="U213" s="85"/>
      <c r="V213" s="85"/>
      <c r="W213" s="85"/>
      <c r="Y213" s="29" t="s">
        <v>19</v>
      </c>
      <c r="Z213" s="29"/>
      <c r="AA213" s="86">
        <v>3006</v>
      </c>
      <c r="AB213" s="29" t="s">
        <v>187</v>
      </c>
      <c r="AE213" s="25" t="s">
        <v>19</v>
      </c>
      <c r="AF213" s="25" t="s">
        <v>32</v>
      </c>
      <c r="AO213" s="75"/>
      <c r="AP213" s="86"/>
    </row>
    <row r="214" spans="2:42" s="25" customFormat="1" x14ac:dyDescent="0.35">
      <c r="B214" s="86">
        <v>300602</v>
      </c>
      <c r="C214" s="25" t="s">
        <v>834</v>
      </c>
      <c r="E214" s="75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85"/>
      <c r="T214" s="85"/>
      <c r="U214" s="85"/>
      <c r="V214" s="85"/>
      <c r="W214" s="85"/>
      <c r="Y214" s="29" t="s">
        <v>19</v>
      </c>
      <c r="Z214" s="29"/>
      <c r="AA214" s="86">
        <v>3006</v>
      </c>
      <c r="AB214" s="29" t="s">
        <v>187</v>
      </c>
      <c r="AE214" s="25" t="s">
        <v>19</v>
      </c>
      <c r="AF214" s="25" t="s">
        <v>32</v>
      </c>
      <c r="AO214" s="75"/>
      <c r="AP214" s="86"/>
    </row>
    <row r="215" spans="2:42" s="25" customFormat="1" x14ac:dyDescent="0.35">
      <c r="B215" s="86">
        <v>300603</v>
      </c>
      <c r="C215" s="25" t="s">
        <v>835</v>
      </c>
      <c r="E215" s="75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85"/>
      <c r="T215" s="85"/>
      <c r="U215" s="85"/>
      <c r="V215" s="85"/>
      <c r="W215" s="85"/>
      <c r="Y215" s="29" t="s">
        <v>19</v>
      </c>
      <c r="Z215" s="29"/>
      <c r="AA215" s="86">
        <v>3006</v>
      </c>
      <c r="AB215" s="29" t="s">
        <v>187</v>
      </c>
      <c r="AD215" s="41"/>
      <c r="AE215" s="41"/>
      <c r="AF215" s="41"/>
      <c r="AO215" s="75"/>
      <c r="AP215" s="86"/>
    </row>
    <row r="216" spans="2:42" s="25" customFormat="1" x14ac:dyDescent="0.35">
      <c r="B216" s="86">
        <v>300604</v>
      </c>
      <c r="C216" s="25" t="s">
        <v>836</v>
      </c>
      <c r="E216" s="75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85"/>
      <c r="T216" s="85"/>
      <c r="U216" s="85"/>
      <c r="V216" s="85"/>
      <c r="W216" s="85"/>
      <c r="Y216" s="29" t="s">
        <v>19</v>
      </c>
      <c r="Z216" s="29"/>
      <c r="AA216" s="86">
        <v>3006</v>
      </c>
      <c r="AB216" s="29" t="s">
        <v>19</v>
      </c>
      <c r="AE216" s="25" t="s">
        <v>187</v>
      </c>
      <c r="AF216" s="25" t="s">
        <v>491</v>
      </c>
      <c r="AO216" s="75"/>
      <c r="AP216" s="86"/>
    </row>
    <row r="217" spans="2:42" s="41" customFormat="1" x14ac:dyDescent="0.35">
      <c r="B217" s="89">
        <v>300605</v>
      </c>
      <c r="C217" s="41" t="s">
        <v>837</v>
      </c>
      <c r="E217" s="90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109"/>
      <c r="T217" s="109"/>
      <c r="U217" s="109"/>
      <c r="V217" s="109"/>
      <c r="W217" s="109"/>
      <c r="Y217" s="114" t="s">
        <v>32</v>
      </c>
      <c r="Z217" s="114"/>
      <c r="AA217" s="89">
        <v>3006</v>
      </c>
      <c r="AB217" s="114" t="s">
        <v>19</v>
      </c>
      <c r="AE217" s="41" t="s">
        <v>19</v>
      </c>
      <c r="AF217" s="41" t="s">
        <v>225</v>
      </c>
      <c r="AO217" s="90"/>
      <c r="AP217" s="89"/>
    </row>
    <row r="218" spans="2:42" s="41" customFormat="1" x14ac:dyDescent="0.35">
      <c r="B218" s="89">
        <v>300606</v>
      </c>
      <c r="C218" s="41" t="s">
        <v>838</v>
      </c>
      <c r="E218" s="90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109"/>
      <c r="T218" s="109"/>
      <c r="U218" s="109"/>
      <c r="V218" s="109"/>
      <c r="W218" s="109"/>
      <c r="Y218" s="114" t="s">
        <v>19</v>
      </c>
      <c r="Z218" s="114"/>
      <c r="AA218" s="89">
        <v>3006</v>
      </c>
      <c r="AB218" s="114" t="s">
        <v>187</v>
      </c>
      <c r="AO218" s="90"/>
      <c r="AP218" s="89"/>
    </row>
    <row r="219" spans="2:42" s="41" customFormat="1" x14ac:dyDescent="0.35">
      <c r="B219" s="89">
        <v>300607</v>
      </c>
      <c r="C219" s="41" t="s">
        <v>839</v>
      </c>
      <c r="E219" s="90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109"/>
      <c r="T219" s="109"/>
      <c r="U219" s="109"/>
      <c r="V219" s="109"/>
      <c r="W219" s="109"/>
      <c r="Y219" s="114" t="s">
        <v>19</v>
      </c>
      <c r="Z219" s="114"/>
      <c r="AA219" s="89">
        <v>3006</v>
      </c>
      <c r="AB219" s="114" t="s">
        <v>187</v>
      </c>
      <c r="AD219" s="41" t="s">
        <v>32</v>
      </c>
      <c r="AE219" s="41" t="s">
        <v>19</v>
      </c>
      <c r="AF219" s="41" t="s">
        <v>69</v>
      </c>
      <c r="AO219" s="90"/>
      <c r="AP219" s="89"/>
    </row>
    <row r="220" spans="2:42" s="41" customFormat="1" x14ac:dyDescent="0.35">
      <c r="B220" s="89">
        <v>300608</v>
      </c>
      <c r="C220" s="41" t="s">
        <v>840</v>
      </c>
      <c r="E220" s="90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109"/>
      <c r="T220" s="109"/>
      <c r="U220" s="109"/>
      <c r="V220" s="109"/>
      <c r="W220" s="109"/>
      <c r="Y220" s="114" t="s">
        <v>19</v>
      </c>
      <c r="Z220" s="114"/>
      <c r="AA220" s="89">
        <v>3006</v>
      </c>
      <c r="AB220" s="114" t="s">
        <v>187</v>
      </c>
      <c r="AD220" s="41" t="s">
        <v>225</v>
      </c>
      <c r="AE220" s="41" t="s">
        <v>19</v>
      </c>
      <c r="AF220" s="41" t="s">
        <v>841</v>
      </c>
      <c r="AO220" s="90"/>
      <c r="AP220" s="89"/>
    </row>
    <row r="221" spans="2:42" s="42" customFormat="1" x14ac:dyDescent="0.35">
      <c r="B221" s="92">
        <v>301001</v>
      </c>
      <c r="C221" s="42" t="s">
        <v>842</v>
      </c>
      <c r="D221" s="42" t="s">
        <v>535</v>
      </c>
      <c r="E221" s="93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110"/>
      <c r="T221" s="110"/>
      <c r="U221" s="110"/>
      <c r="V221" s="110"/>
      <c r="W221" s="110"/>
      <c r="Y221" s="43" t="s">
        <v>19</v>
      </c>
      <c r="Z221" s="43"/>
      <c r="AA221" s="92">
        <v>3010</v>
      </c>
      <c r="AB221" s="43" t="s">
        <v>187</v>
      </c>
      <c r="AE221" s="42" t="s">
        <v>19</v>
      </c>
      <c r="AF221" s="42" t="s">
        <v>19</v>
      </c>
      <c r="AO221" s="93"/>
      <c r="AP221" s="92"/>
    </row>
    <row r="222" spans="2:42" s="42" customFormat="1" x14ac:dyDescent="0.35">
      <c r="B222" s="92">
        <v>301002</v>
      </c>
      <c r="C222" s="42" t="s">
        <v>843</v>
      </c>
      <c r="D222" s="42" t="s">
        <v>844</v>
      </c>
      <c r="E222" s="93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110"/>
      <c r="T222" s="110"/>
      <c r="U222" s="110"/>
      <c r="V222" s="110"/>
      <c r="W222" s="110"/>
      <c r="Y222" s="43" t="s">
        <v>19</v>
      </c>
      <c r="Z222" s="43"/>
      <c r="AA222" s="92">
        <v>3010</v>
      </c>
      <c r="AB222" s="43" t="s">
        <v>187</v>
      </c>
      <c r="AD222" s="42" t="s">
        <v>32</v>
      </c>
      <c r="AE222" s="42" t="s">
        <v>19</v>
      </c>
      <c r="AF222" s="42" t="s">
        <v>209</v>
      </c>
      <c r="AO222" s="93"/>
      <c r="AP222" s="92"/>
    </row>
    <row r="223" spans="2:42" s="42" customFormat="1" x14ac:dyDescent="0.35">
      <c r="B223" s="92">
        <v>301003</v>
      </c>
      <c r="C223" s="42" t="s">
        <v>845</v>
      </c>
      <c r="D223" s="42" t="s">
        <v>846</v>
      </c>
      <c r="E223" s="93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110"/>
      <c r="T223" s="110"/>
      <c r="U223" s="110"/>
      <c r="V223" s="110"/>
      <c r="W223" s="110"/>
      <c r="Y223" s="43" t="s">
        <v>19</v>
      </c>
      <c r="Z223" s="43"/>
      <c r="AA223" s="92">
        <v>3010</v>
      </c>
      <c r="AB223" s="43" t="s">
        <v>187</v>
      </c>
      <c r="AD223" s="42" t="s">
        <v>225</v>
      </c>
      <c r="AE223" s="42" t="s">
        <v>19</v>
      </c>
      <c r="AF223" s="42" t="s">
        <v>341</v>
      </c>
      <c r="AO223" s="93"/>
      <c r="AP223" s="92"/>
    </row>
    <row r="224" spans="2:42" s="43" customFormat="1" x14ac:dyDescent="0.35">
      <c r="B224" s="95">
        <v>301004</v>
      </c>
      <c r="C224" s="43" t="s">
        <v>847</v>
      </c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111"/>
      <c r="T224" s="111"/>
      <c r="U224" s="111"/>
      <c r="V224" s="111"/>
      <c r="W224" s="111"/>
      <c r="Y224" s="43" t="s">
        <v>19</v>
      </c>
      <c r="AA224" s="95">
        <v>3010</v>
      </c>
      <c r="AB224" s="43" t="s">
        <v>19</v>
      </c>
      <c r="AE224" s="43" t="s">
        <v>19</v>
      </c>
      <c r="AF224" s="43" t="s">
        <v>19</v>
      </c>
      <c r="AO224" s="96"/>
      <c r="AP224" s="95"/>
    </row>
    <row r="225" spans="2:42" s="25" customFormat="1" x14ac:dyDescent="0.35">
      <c r="B225" s="86">
        <v>301101</v>
      </c>
      <c r="C225" s="25" t="s">
        <v>848</v>
      </c>
      <c r="D225" s="25" t="s">
        <v>849</v>
      </c>
      <c r="E225" s="75"/>
      <c r="F225" s="25" t="s">
        <v>194</v>
      </c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85"/>
      <c r="T225" s="85"/>
      <c r="U225" s="85"/>
      <c r="V225" s="85"/>
      <c r="W225" s="85"/>
      <c r="Y225" s="29" t="s">
        <v>19</v>
      </c>
      <c r="Z225" s="29"/>
      <c r="AA225" s="86">
        <v>3011</v>
      </c>
      <c r="AB225" s="29" t="s">
        <v>187</v>
      </c>
      <c r="AO225" s="75"/>
      <c r="AP225" s="86"/>
    </row>
    <row r="226" spans="2:42" s="25" customFormat="1" x14ac:dyDescent="0.35">
      <c r="B226" s="86">
        <v>301102</v>
      </c>
      <c r="C226" s="25" t="s">
        <v>850</v>
      </c>
      <c r="E226" s="75"/>
      <c r="F226" s="25" t="s">
        <v>194</v>
      </c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85"/>
      <c r="T226" s="85"/>
      <c r="U226" s="85"/>
      <c r="V226" s="85"/>
      <c r="W226" s="85"/>
      <c r="Y226" s="29" t="s">
        <v>19</v>
      </c>
      <c r="Z226" s="29"/>
      <c r="AA226" s="86">
        <v>3011</v>
      </c>
      <c r="AB226" s="29" t="s">
        <v>187</v>
      </c>
      <c r="AE226" s="25" t="s">
        <v>19</v>
      </c>
      <c r="AF226" s="25" t="s">
        <v>35</v>
      </c>
      <c r="AO226" s="75"/>
      <c r="AP226" s="86"/>
    </row>
    <row r="227" spans="2:42" s="25" customFormat="1" x14ac:dyDescent="0.35">
      <c r="B227" s="86">
        <v>301103</v>
      </c>
      <c r="C227" s="25" t="s">
        <v>851</v>
      </c>
      <c r="D227" s="25" t="s">
        <v>852</v>
      </c>
      <c r="E227" s="75"/>
      <c r="F227" s="25" t="s">
        <v>194</v>
      </c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85"/>
      <c r="T227" s="85"/>
      <c r="U227" s="85"/>
      <c r="V227" s="85"/>
      <c r="W227" s="85"/>
      <c r="Y227" s="29" t="s">
        <v>19</v>
      </c>
      <c r="Z227" s="29"/>
      <c r="AA227" s="86">
        <v>3011</v>
      </c>
      <c r="AB227" s="29" t="s">
        <v>187</v>
      </c>
      <c r="AO227" s="75"/>
      <c r="AP227" s="86"/>
    </row>
    <row r="228" spans="2:42" s="25" customFormat="1" x14ac:dyDescent="0.35">
      <c r="B228" s="99">
        <v>300801</v>
      </c>
      <c r="C228" s="25" t="s">
        <v>853</v>
      </c>
      <c r="D228" s="25" t="s">
        <v>194</v>
      </c>
      <c r="E228" s="75"/>
      <c r="F228" s="25" t="s">
        <v>194</v>
      </c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85"/>
      <c r="T228" s="85"/>
      <c r="U228" s="85"/>
      <c r="V228" s="85"/>
      <c r="W228" s="85"/>
      <c r="Y228" s="29" t="s">
        <v>19</v>
      </c>
      <c r="Z228" s="29"/>
      <c r="AA228" s="86">
        <v>3008</v>
      </c>
      <c r="AB228" s="29" t="s">
        <v>187</v>
      </c>
      <c r="AO228" s="75"/>
      <c r="AP228" s="86"/>
    </row>
    <row r="229" spans="2:42" s="25" customFormat="1" x14ac:dyDescent="0.35">
      <c r="B229" s="99">
        <v>300811</v>
      </c>
      <c r="C229" s="25" t="s">
        <v>854</v>
      </c>
      <c r="D229" s="25" t="s">
        <v>194</v>
      </c>
      <c r="E229" s="75"/>
      <c r="F229" s="25" t="s">
        <v>194</v>
      </c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85"/>
      <c r="T229" s="85"/>
      <c r="U229" s="85"/>
      <c r="V229" s="85"/>
      <c r="W229" s="85"/>
      <c r="Y229" s="29" t="s">
        <v>19</v>
      </c>
      <c r="Z229" s="29"/>
      <c r="AA229" s="86">
        <v>3008</v>
      </c>
      <c r="AB229" s="29" t="s">
        <v>187</v>
      </c>
      <c r="AO229" s="75"/>
      <c r="AP229" s="86"/>
    </row>
    <row r="230" spans="2:42" s="25" customFormat="1" x14ac:dyDescent="0.35">
      <c r="B230" s="99">
        <v>300802</v>
      </c>
      <c r="C230" s="25" t="s">
        <v>855</v>
      </c>
      <c r="D230" s="25" t="s">
        <v>194</v>
      </c>
      <c r="E230" s="75"/>
      <c r="F230" s="25" t="s">
        <v>194</v>
      </c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85"/>
      <c r="T230" s="85"/>
      <c r="U230" s="85"/>
      <c r="V230" s="85"/>
      <c r="W230" s="85"/>
      <c r="Y230" s="29" t="s">
        <v>19</v>
      </c>
      <c r="Z230" s="29"/>
      <c r="AA230" s="86">
        <v>3008</v>
      </c>
      <c r="AB230" s="29" t="s">
        <v>187</v>
      </c>
      <c r="AO230" s="75"/>
      <c r="AP230" s="86"/>
    </row>
    <row r="231" spans="2:42" s="25" customFormat="1" x14ac:dyDescent="0.35">
      <c r="B231" s="99">
        <v>300812</v>
      </c>
      <c r="C231" s="25" t="s">
        <v>856</v>
      </c>
      <c r="D231" s="25" t="s">
        <v>194</v>
      </c>
      <c r="E231" s="75"/>
      <c r="F231" s="25" t="s">
        <v>194</v>
      </c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85"/>
      <c r="T231" s="85"/>
      <c r="U231" s="85"/>
      <c r="V231" s="85"/>
      <c r="W231" s="85"/>
      <c r="Y231" s="29" t="s">
        <v>19</v>
      </c>
      <c r="Z231" s="29"/>
      <c r="AA231" s="86">
        <v>3008</v>
      </c>
      <c r="AB231" s="29" t="s">
        <v>187</v>
      </c>
      <c r="AO231" s="75"/>
      <c r="AP231" s="86"/>
    </row>
    <row r="232" spans="2:42" s="25" customFormat="1" x14ac:dyDescent="0.35">
      <c r="B232" s="99">
        <v>300803</v>
      </c>
      <c r="C232" s="25" t="s">
        <v>857</v>
      </c>
      <c r="D232" s="25" t="s">
        <v>194</v>
      </c>
      <c r="E232" s="75"/>
      <c r="F232" s="25" t="s">
        <v>194</v>
      </c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85"/>
      <c r="T232" s="85"/>
      <c r="U232" s="85"/>
      <c r="V232" s="85"/>
      <c r="W232" s="85"/>
      <c r="Y232" s="29" t="s">
        <v>19</v>
      </c>
      <c r="Z232" s="29"/>
      <c r="AA232" s="86">
        <v>3008</v>
      </c>
      <c r="AB232" s="29" t="s">
        <v>187</v>
      </c>
      <c r="AO232" s="75"/>
      <c r="AP232" s="86"/>
    </row>
    <row r="233" spans="2:42" s="25" customFormat="1" x14ac:dyDescent="0.35">
      <c r="B233" s="99">
        <v>300813</v>
      </c>
      <c r="C233" s="25" t="s">
        <v>858</v>
      </c>
      <c r="D233" s="25" t="s">
        <v>194</v>
      </c>
      <c r="E233" s="75"/>
      <c r="F233" s="25" t="s">
        <v>194</v>
      </c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85"/>
      <c r="T233" s="85"/>
      <c r="U233" s="85"/>
      <c r="V233" s="85"/>
      <c r="W233" s="85"/>
      <c r="Y233" s="29" t="s">
        <v>19</v>
      </c>
      <c r="Z233" s="29"/>
      <c r="AA233" s="86">
        <v>3008</v>
      </c>
      <c r="AB233" s="29" t="s">
        <v>187</v>
      </c>
      <c r="AO233" s="75"/>
      <c r="AP233" s="86"/>
    </row>
    <row r="234" spans="2:42" s="25" customFormat="1" x14ac:dyDescent="0.35">
      <c r="B234" s="99">
        <v>300804</v>
      </c>
      <c r="C234" s="25" t="s">
        <v>859</v>
      </c>
      <c r="D234" s="25" t="s">
        <v>194</v>
      </c>
      <c r="E234" s="75"/>
      <c r="F234" s="25" t="s">
        <v>194</v>
      </c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85"/>
      <c r="T234" s="85"/>
      <c r="U234" s="85"/>
      <c r="V234" s="85"/>
      <c r="W234" s="85"/>
      <c r="Y234" s="29" t="s">
        <v>19</v>
      </c>
      <c r="Z234" s="29"/>
      <c r="AA234" s="86">
        <v>3008</v>
      </c>
      <c r="AB234" s="29" t="s">
        <v>187</v>
      </c>
      <c r="AO234" s="75"/>
      <c r="AP234" s="86"/>
    </row>
    <row r="235" spans="2:42" s="25" customFormat="1" x14ac:dyDescent="0.35">
      <c r="B235" s="99">
        <v>300805</v>
      </c>
      <c r="C235" s="25" t="s">
        <v>860</v>
      </c>
      <c r="D235" s="25" t="s">
        <v>194</v>
      </c>
      <c r="E235" s="75"/>
      <c r="F235" s="25" t="s">
        <v>194</v>
      </c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85"/>
      <c r="T235" s="85"/>
      <c r="U235" s="85"/>
      <c r="V235" s="85"/>
      <c r="W235" s="85"/>
      <c r="Y235" s="29" t="s">
        <v>19</v>
      </c>
      <c r="Z235" s="29"/>
      <c r="AA235" s="86">
        <v>3008</v>
      </c>
      <c r="AB235" s="29" t="s">
        <v>187</v>
      </c>
      <c r="AO235" s="75"/>
      <c r="AP235" s="86"/>
    </row>
    <row r="236" spans="2:42" s="25" customFormat="1" x14ac:dyDescent="0.35">
      <c r="B236" s="99">
        <v>300806</v>
      </c>
      <c r="C236" s="25" t="s">
        <v>861</v>
      </c>
      <c r="D236" s="25" t="s">
        <v>194</v>
      </c>
      <c r="E236" s="75"/>
      <c r="F236" s="25" t="s">
        <v>194</v>
      </c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85"/>
      <c r="T236" s="85"/>
      <c r="U236" s="85"/>
      <c r="V236" s="85"/>
      <c r="W236" s="85"/>
      <c r="Y236" s="29" t="s">
        <v>19</v>
      </c>
      <c r="Z236" s="29"/>
      <c r="AA236" s="86">
        <v>3008</v>
      </c>
      <c r="AB236" s="29" t="s">
        <v>187</v>
      </c>
      <c r="AO236" s="75"/>
      <c r="AP236" s="86"/>
    </row>
    <row r="237" spans="2:42" s="25" customFormat="1" x14ac:dyDescent="0.35">
      <c r="B237" s="99">
        <v>300816</v>
      </c>
      <c r="C237" s="25" t="s">
        <v>862</v>
      </c>
      <c r="D237" s="25" t="s">
        <v>194</v>
      </c>
      <c r="E237" s="75"/>
      <c r="F237" s="25" t="s">
        <v>194</v>
      </c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85"/>
      <c r="T237" s="85"/>
      <c r="U237" s="85"/>
      <c r="V237" s="85"/>
      <c r="W237" s="85"/>
      <c r="Y237" s="29" t="s">
        <v>19</v>
      </c>
      <c r="Z237" s="29"/>
      <c r="AA237" s="86">
        <v>3008</v>
      </c>
      <c r="AB237" s="29" t="s">
        <v>187</v>
      </c>
      <c r="AO237" s="75"/>
      <c r="AP237" s="86"/>
    </row>
    <row r="238" spans="2:42" s="25" customFormat="1" x14ac:dyDescent="0.35">
      <c r="B238" s="99">
        <v>300807</v>
      </c>
      <c r="C238" s="25" t="s">
        <v>863</v>
      </c>
      <c r="D238" s="25" t="s">
        <v>194</v>
      </c>
      <c r="E238" s="75"/>
      <c r="F238" s="25" t="s">
        <v>194</v>
      </c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85"/>
      <c r="T238" s="85"/>
      <c r="U238" s="85"/>
      <c r="V238" s="85"/>
      <c r="W238" s="85"/>
      <c r="Y238" s="29" t="s">
        <v>19</v>
      </c>
      <c r="Z238" s="29"/>
      <c r="AA238" s="86">
        <v>3008</v>
      </c>
      <c r="AB238" s="29" t="s">
        <v>19</v>
      </c>
      <c r="AE238" s="25" t="s">
        <v>19</v>
      </c>
      <c r="AF238" s="25" t="s">
        <v>864</v>
      </c>
      <c r="AO238" s="75"/>
      <c r="AP238" s="86"/>
    </row>
    <row r="239" spans="2:42" s="25" customFormat="1" x14ac:dyDescent="0.35">
      <c r="B239" s="86">
        <v>301601</v>
      </c>
      <c r="C239" s="25" t="s">
        <v>865</v>
      </c>
      <c r="E239" s="75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85"/>
      <c r="T239" s="85"/>
      <c r="U239" s="85"/>
      <c r="V239" s="85"/>
      <c r="W239" s="85"/>
      <c r="Y239" s="29" t="s">
        <v>19</v>
      </c>
      <c r="Z239" s="29"/>
      <c r="AA239" s="86">
        <v>3016</v>
      </c>
      <c r="AB239" s="29" t="s">
        <v>187</v>
      </c>
      <c r="AO239" s="75"/>
      <c r="AP239" s="86"/>
    </row>
    <row r="240" spans="2:42" s="25" customFormat="1" x14ac:dyDescent="0.35">
      <c r="B240" s="86">
        <v>301602</v>
      </c>
      <c r="C240" s="25" t="s">
        <v>866</v>
      </c>
      <c r="E240" s="75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85"/>
      <c r="T240" s="85"/>
      <c r="U240" s="85"/>
      <c r="V240" s="85"/>
      <c r="W240" s="85"/>
      <c r="Y240" s="29" t="s">
        <v>32</v>
      </c>
      <c r="Z240" s="29"/>
      <c r="AA240" s="86">
        <v>3016</v>
      </c>
      <c r="AB240" s="29" t="s">
        <v>19</v>
      </c>
      <c r="AE240" s="25" t="s">
        <v>19</v>
      </c>
      <c r="AF240" s="25" t="s">
        <v>189</v>
      </c>
      <c r="AO240" s="75"/>
      <c r="AP240" s="86"/>
    </row>
    <row r="241" spans="2:42" s="25" customFormat="1" x14ac:dyDescent="0.35">
      <c r="B241" s="86">
        <v>301603</v>
      </c>
      <c r="C241" s="25" t="s">
        <v>867</v>
      </c>
      <c r="E241" s="75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85"/>
      <c r="T241" s="85"/>
      <c r="U241" s="85"/>
      <c r="V241" s="85"/>
      <c r="W241" s="85"/>
      <c r="Y241" s="29" t="s">
        <v>35</v>
      </c>
      <c r="Z241" s="29"/>
      <c r="AA241" s="86">
        <v>3016</v>
      </c>
      <c r="AB241" s="29" t="s">
        <v>187</v>
      </c>
      <c r="AE241" s="25" t="s">
        <v>19</v>
      </c>
      <c r="AF241" s="25" t="s">
        <v>189</v>
      </c>
      <c r="AO241" s="75"/>
      <c r="AP241" s="86"/>
    </row>
    <row r="242" spans="2:42" s="25" customFormat="1" x14ac:dyDescent="0.35">
      <c r="B242" s="86">
        <v>301606</v>
      </c>
      <c r="C242" s="25" t="s">
        <v>868</v>
      </c>
      <c r="E242" s="75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85"/>
      <c r="T242" s="85"/>
      <c r="U242" s="85"/>
      <c r="V242" s="85"/>
      <c r="W242" s="85"/>
      <c r="Y242" s="29" t="s">
        <v>19</v>
      </c>
      <c r="Z242" s="29"/>
      <c r="AA242" s="86">
        <v>3016</v>
      </c>
      <c r="AB242" s="29" t="s">
        <v>187</v>
      </c>
      <c r="AO242" s="75"/>
      <c r="AP242" s="86"/>
    </row>
    <row r="243" spans="2:42" s="25" customFormat="1" x14ac:dyDescent="0.35">
      <c r="B243" s="86">
        <v>301701</v>
      </c>
      <c r="C243" s="25" t="s">
        <v>869</v>
      </c>
      <c r="E243" s="75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85"/>
      <c r="T243" s="85"/>
      <c r="U243" s="85"/>
      <c r="V243" s="85"/>
      <c r="W243" s="85"/>
      <c r="Y243" s="29" t="s">
        <v>19</v>
      </c>
      <c r="Z243" s="29"/>
      <c r="AA243" s="86">
        <v>3017</v>
      </c>
      <c r="AB243" s="29" t="s">
        <v>187</v>
      </c>
      <c r="AO243" s="75"/>
      <c r="AP243" s="86"/>
    </row>
    <row r="244" spans="2:42" s="25" customFormat="1" x14ac:dyDescent="0.35">
      <c r="B244" s="86">
        <v>301702</v>
      </c>
      <c r="C244" s="25" t="s">
        <v>870</v>
      </c>
      <c r="E244" s="75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85"/>
      <c r="T244" s="85"/>
      <c r="U244" s="85"/>
      <c r="V244" s="85"/>
      <c r="W244" s="85"/>
      <c r="Y244" s="29" t="s">
        <v>32</v>
      </c>
      <c r="Z244" s="29"/>
      <c r="AA244" s="86">
        <v>3017</v>
      </c>
      <c r="AB244" s="29" t="s">
        <v>19</v>
      </c>
      <c r="AE244" s="25" t="s">
        <v>19</v>
      </c>
      <c r="AF244" s="25" t="s">
        <v>189</v>
      </c>
      <c r="AO244" s="75"/>
      <c r="AP244" s="86"/>
    </row>
    <row r="245" spans="2:42" s="25" customFormat="1" x14ac:dyDescent="0.35">
      <c r="B245" s="86">
        <v>301703</v>
      </c>
      <c r="C245" s="25" t="s">
        <v>871</v>
      </c>
      <c r="E245" s="75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85"/>
      <c r="T245" s="85"/>
      <c r="U245" s="85"/>
      <c r="V245" s="85"/>
      <c r="W245" s="85"/>
      <c r="Y245" s="29" t="s">
        <v>35</v>
      </c>
      <c r="Z245" s="29"/>
      <c r="AA245" s="86">
        <v>3017</v>
      </c>
      <c r="AB245" s="29" t="s">
        <v>187</v>
      </c>
      <c r="AE245" s="25" t="s">
        <v>19</v>
      </c>
      <c r="AF245" s="25" t="s">
        <v>189</v>
      </c>
      <c r="AO245" s="75"/>
      <c r="AP245" s="86"/>
    </row>
    <row r="246" spans="2:42" s="25" customFormat="1" x14ac:dyDescent="0.35">
      <c r="B246" s="86">
        <v>301706</v>
      </c>
      <c r="C246" s="25" t="s">
        <v>872</v>
      </c>
      <c r="E246" s="75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85"/>
      <c r="T246" s="85"/>
      <c r="U246" s="85"/>
      <c r="V246" s="85"/>
      <c r="W246" s="85"/>
      <c r="Y246" s="29" t="s">
        <v>19</v>
      </c>
      <c r="Z246" s="29"/>
      <c r="AA246" s="86">
        <v>3017</v>
      </c>
      <c r="AB246" s="29" t="s">
        <v>187</v>
      </c>
      <c r="AO246" s="75"/>
      <c r="AP246" s="86"/>
    </row>
    <row r="247" spans="2:42" x14ac:dyDescent="0.35">
      <c r="B247" s="45">
        <v>312101</v>
      </c>
      <c r="C247" s="29" t="s">
        <v>873</v>
      </c>
      <c r="X247" s="45"/>
      <c r="Y247" s="29" t="s">
        <v>19</v>
      </c>
      <c r="AA247" s="45">
        <v>312100</v>
      </c>
      <c r="AB247" s="29" t="s">
        <v>187</v>
      </c>
      <c r="AE247" s="29" t="s">
        <v>19</v>
      </c>
      <c r="AF247" s="29" t="s">
        <v>32</v>
      </c>
    </row>
    <row r="248" spans="2:42" x14ac:dyDescent="0.35">
      <c r="B248" s="45">
        <v>312102</v>
      </c>
      <c r="C248" s="29" t="s">
        <v>874</v>
      </c>
      <c r="X248" s="45"/>
      <c r="Y248" s="29" t="s">
        <v>19</v>
      </c>
      <c r="AA248" s="45">
        <v>312100</v>
      </c>
      <c r="AB248" s="29" t="s">
        <v>19</v>
      </c>
      <c r="AE248" s="29" t="s">
        <v>19</v>
      </c>
      <c r="AF248" s="29" t="s">
        <v>220</v>
      </c>
    </row>
    <row r="249" spans="2:42" x14ac:dyDescent="0.35">
      <c r="B249" s="45">
        <v>312103</v>
      </c>
      <c r="C249" s="29" t="s">
        <v>873</v>
      </c>
      <c r="D249" s="29" t="s">
        <v>875</v>
      </c>
      <c r="Y249" s="29" t="s">
        <v>19</v>
      </c>
      <c r="AA249" s="45">
        <v>312100</v>
      </c>
      <c r="AB249" s="29" t="s">
        <v>187</v>
      </c>
      <c r="AE249" s="29" t="s">
        <v>19</v>
      </c>
      <c r="AF249" s="29" t="s">
        <v>876</v>
      </c>
    </row>
    <row r="250" spans="2:42" s="26" customFormat="1" x14ac:dyDescent="0.35">
      <c r="B250" s="100">
        <v>400310</v>
      </c>
      <c r="C250" s="26" t="s">
        <v>877</v>
      </c>
      <c r="E250" s="101"/>
      <c r="G250" s="102"/>
      <c r="H250" s="102"/>
      <c r="I250" s="102"/>
      <c r="J250" s="102"/>
      <c r="K250" s="102"/>
      <c r="L250" s="102"/>
      <c r="M250" s="102"/>
      <c r="N250" s="102"/>
      <c r="O250" s="106"/>
      <c r="P250" s="106"/>
      <c r="Q250" s="106"/>
      <c r="R250" s="106"/>
      <c r="S250" s="112"/>
      <c r="T250" s="112"/>
      <c r="U250" s="112"/>
      <c r="V250" s="112"/>
      <c r="W250" s="112"/>
      <c r="Y250" s="26" t="s">
        <v>19</v>
      </c>
      <c r="Z250" s="29"/>
      <c r="AA250" s="100">
        <v>4003</v>
      </c>
      <c r="AB250" s="29" t="s">
        <v>187</v>
      </c>
      <c r="AO250" s="101"/>
      <c r="AP250" s="100"/>
    </row>
    <row r="251" spans="2:42" s="26" customFormat="1" x14ac:dyDescent="0.35">
      <c r="B251" s="100">
        <v>400311</v>
      </c>
      <c r="C251" s="26" t="s">
        <v>878</v>
      </c>
      <c r="E251" s="101"/>
      <c r="G251" s="102"/>
      <c r="H251" s="102"/>
      <c r="I251" s="102"/>
      <c r="J251" s="102"/>
      <c r="K251" s="102"/>
      <c r="L251" s="102"/>
      <c r="M251" s="102"/>
      <c r="N251" s="102"/>
      <c r="O251" s="106"/>
      <c r="P251" s="106"/>
      <c r="Q251" s="106"/>
      <c r="R251" s="106"/>
      <c r="S251" s="112"/>
      <c r="T251" s="112"/>
      <c r="U251" s="112"/>
      <c r="V251" s="112"/>
      <c r="W251" s="112"/>
      <c r="Y251" s="26" t="s">
        <v>19</v>
      </c>
      <c r="Z251" s="29"/>
      <c r="AA251" s="100">
        <v>4003</v>
      </c>
      <c r="AB251" s="29" t="s">
        <v>19</v>
      </c>
      <c r="AO251" s="101"/>
      <c r="AP251" s="100"/>
    </row>
    <row r="252" spans="2:42" s="26" customFormat="1" x14ac:dyDescent="0.35">
      <c r="B252" s="100">
        <v>400312</v>
      </c>
      <c r="C252" s="26" t="s">
        <v>879</v>
      </c>
      <c r="E252" s="101"/>
      <c r="G252" s="102"/>
      <c r="H252" s="102"/>
      <c r="I252" s="102"/>
      <c r="J252" s="102"/>
      <c r="K252" s="102"/>
      <c r="L252" s="102"/>
      <c r="M252" s="102"/>
      <c r="N252" s="102"/>
      <c r="O252" s="106"/>
      <c r="P252" s="106"/>
      <c r="Q252" s="106"/>
      <c r="R252" s="106"/>
      <c r="S252" s="112"/>
      <c r="T252" s="112"/>
      <c r="U252" s="112"/>
      <c r="V252" s="112"/>
      <c r="W252" s="112"/>
      <c r="Y252" s="26" t="s">
        <v>19</v>
      </c>
      <c r="Z252" s="29"/>
      <c r="AA252" s="100">
        <v>4003</v>
      </c>
      <c r="AB252" s="29" t="s">
        <v>19</v>
      </c>
      <c r="AO252" s="101"/>
      <c r="AP252" s="100"/>
    </row>
    <row r="253" spans="2:42" s="26" customFormat="1" x14ac:dyDescent="0.35">
      <c r="B253" s="100">
        <v>400313</v>
      </c>
      <c r="C253" s="26" t="s">
        <v>880</v>
      </c>
      <c r="E253" s="101"/>
      <c r="G253" s="102"/>
      <c r="H253" s="102"/>
      <c r="I253" s="102"/>
      <c r="J253" s="102"/>
      <c r="K253" s="102"/>
      <c r="L253" s="102"/>
      <c r="M253" s="102"/>
      <c r="N253" s="102"/>
      <c r="O253" s="106"/>
      <c r="P253" s="106"/>
      <c r="Q253" s="106"/>
      <c r="R253" s="106"/>
      <c r="S253" s="112"/>
      <c r="T253" s="112"/>
      <c r="U253" s="112"/>
      <c r="V253" s="112"/>
      <c r="W253" s="112"/>
      <c r="Y253" s="26" t="s">
        <v>19</v>
      </c>
      <c r="Z253" s="29"/>
      <c r="AA253" s="100">
        <v>4003</v>
      </c>
      <c r="AB253" s="29" t="s">
        <v>187</v>
      </c>
      <c r="AO253" s="101"/>
      <c r="AP253" s="100"/>
    </row>
    <row r="254" spans="2:42" s="26" customFormat="1" x14ac:dyDescent="0.35">
      <c r="B254" s="100">
        <v>400320</v>
      </c>
      <c r="C254" s="26" t="s">
        <v>881</v>
      </c>
      <c r="E254" s="101"/>
      <c r="G254" s="102"/>
      <c r="H254" s="102"/>
      <c r="I254" s="102"/>
      <c r="J254" s="102"/>
      <c r="K254" s="102"/>
      <c r="L254" s="102"/>
      <c r="M254" s="102"/>
      <c r="N254" s="102"/>
      <c r="O254" s="106"/>
      <c r="P254" s="106"/>
      <c r="Q254" s="106"/>
      <c r="R254" s="106"/>
      <c r="S254" s="112"/>
      <c r="T254" s="112"/>
      <c r="U254" s="112"/>
      <c r="V254" s="112"/>
      <c r="W254" s="112"/>
      <c r="Y254" s="26" t="s">
        <v>19</v>
      </c>
      <c r="Z254" s="29"/>
      <c r="AA254" s="100">
        <v>4003</v>
      </c>
      <c r="AB254" s="29" t="s">
        <v>187</v>
      </c>
      <c r="AE254" s="27" t="s">
        <v>19</v>
      </c>
      <c r="AF254" s="27" t="s">
        <v>35</v>
      </c>
      <c r="AO254" s="101"/>
      <c r="AP254" s="100"/>
    </row>
    <row r="255" spans="2:42" s="26" customFormat="1" x14ac:dyDescent="0.35">
      <c r="B255" s="100">
        <v>400321</v>
      </c>
      <c r="C255" s="26" t="s">
        <v>882</v>
      </c>
      <c r="E255" s="101"/>
      <c r="G255" s="102"/>
      <c r="H255" s="102"/>
      <c r="I255" s="102"/>
      <c r="J255" s="102"/>
      <c r="K255" s="102"/>
      <c r="L255" s="102"/>
      <c r="M255" s="102"/>
      <c r="N255" s="102"/>
      <c r="O255" s="106"/>
      <c r="P255" s="106"/>
      <c r="Q255" s="106"/>
      <c r="R255" s="106"/>
      <c r="S255" s="112"/>
      <c r="T255" s="112"/>
      <c r="U255" s="112"/>
      <c r="V255" s="112"/>
      <c r="W255" s="112"/>
      <c r="Y255" s="26" t="s">
        <v>19</v>
      </c>
      <c r="Z255" s="29"/>
      <c r="AA255" s="100">
        <v>4003</v>
      </c>
      <c r="AB255" s="29" t="s">
        <v>187</v>
      </c>
      <c r="AE255" s="26" t="s">
        <v>19</v>
      </c>
      <c r="AF255" s="26" t="s">
        <v>35</v>
      </c>
      <c r="AO255" s="101"/>
      <c r="AP255" s="100"/>
    </row>
    <row r="256" spans="2:42" s="26" customFormat="1" x14ac:dyDescent="0.35">
      <c r="B256" s="100">
        <v>400322</v>
      </c>
      <c r="C256" s="26" t="s">
        <v>883</v>
      </c>
      <c r="E256" s="101"/>
      <c r="G256" s="102"/>
      <c r="H256" s="102"/>
      <c r="I256" s="102"/>
      <c r="J256" s="102"/>
      <c r="K256" s="102"/>
      <c r="L256" s="102"/>
      <c r="M256" s="102"/>
      <c r="N256" s="102"/>
      <c r="O256" s="106"/>
      <c r="P256" s="106"/>
      <c r="Q256" s="106"/>
      <c r="R256" s="106"/>
      <c r="S256" s="112"/>
      <c r="T256" s="112"/>
      <c r="U256" s="112"/>
      <c r="V256" s="112"/>
      <c r="W256" s="112"/>
      <c r="Y256" s="26" t="s">
        <v>19</v>
      </c>
      <c r="Z256" s="29"/>
      <c r="AA256" s="100">
        <v>4003</v>
      </c>
      <c r="AB256" s="29" t="s">
        <v>187</v>
      </c>
      <c r="AO256" s="101"/>
      <c r="AP256" s="100"/>
    </row>
    <row r="257" spans="2:42" s="27" customFormat="1" x14ac:dyDescent="0.35">
      <c r="B257" s="103">
        <v>400330</v>
      </c>
      <c r="C257" s="27" t="s">
        <v>884</v>
      </c>
      <c r="E257" s="104"/>
      <c r="G257" s="105"/>
      <c r="H257" s="105"/>
      <c r="I257" s="105"/>
      <c r="J257" s="105"/>
      <c r="K257" s="105"/>
      <c r="L257" s="105"/>
      <c r="M257" s="105"/>
      <c r="N257" s="105"/>
      <c r="O257" s="107"/>
      <c r="P257" s="107"/>
      <c r="Q257" s="107"/>
      <c r="R257" s="107"/>
      <c r="S257" s="113"/>
      <c r="T257" s="113"/>
      <c r="U257" s="113"/>
      <c r="V257" s="113"/>
      <c r="W257" s="113"/>
      <c r="Y257" s="26" t="s">
        <v>19</v>
      </c>
      <c r="Z257" s="29"/>
      <c r="AA257" s="103">
        <v>4003</v>
      </c>
      <c r="AB257" s="29" t="s">
        <v>187</v>
      </c>
      <c r="AE257" s="27" t="s">
        <v>19</v>
      </c>
      <c r="AF257" s="27" t="s">
        <v>491</v>
      </c>
      <c r="AO257" s="104"/>
      <c r="AP257" s="103"/>
    </row>
    <row r="258" spans="2:42" s="27" customFormat="1" x14ac:dyDescent="0.35">
      <c r="B258" s="103">
        <v>400331</v>
      </c>
      <c r="C258" s="27" t="s">
        <v>885</v>
      </c>
      <c r="E258" s="104"/>
      <c r="G258" s="105"/>
      <c r="H258" s="105"/>
      <c r="I258" s="105"/>
      <c r="J258" s="105"/>
      <c r="K258" s="105"/>
      <c r="L258" s="105"/>
      <c r="M258" s="105"/>
      <c r="N258" s="105"/>
      <c r="O258" s="107"/>
      <c r="P258" s="107"/>
      <c r="Q258" s="107"/>
      <c r="R258" s="107"/>
      <c r="S258" s="113"/>
      <c r="T258" s="113"/>
      <c r="U258" s="113"/>
      <c r="V258" s="113"/>
      <c r="W258" s="113"/>
      <c r="Y258" s="26" t="s">
        <v>19</v>
      </c>
      <c r="Z258" s="29"/>
      <c r="AA258" s="103">
        <v>4003</v>
      </c>
      <c r="AB258" s="29" t="s">
        <v>187</v>
      </c>
      <c r="AO258" s="104"/>
      <c r="AP258" s="103"/>
    </row>
    <row r="259" spans="2:42" s="27" customFormat="1" x14ac:dyDescent="0.35">
      <c r="B259" s="103">
        <v>400410</v>
      </c>
      <c r="C259" s="27" t="s">
        <v>886</v>
      </c>
      <c r="E259" s="104"/>
      <c r="G259" s="105"/>
      <c r="H259" s="105"/>
      <c r="I259" s="105"/>
      <c r="J259" s="105"/>
      <c r="K259" s="105"/>
      <c r="L259" s="105"/>
      <c r="M259" s="105"/>
      <c r="N259" s="105"/>
      <c r="O259" s="107"/>
      <c r="P259" s="107"/>
      <c r="Q259" s="107"/>
      <c r="R259" s="107"/>
      <c r="S259" s="113"/>
      <c r="T259" s="113"/>
      <c r="U259" s="113"/>
      <c r="V259" s="113"/>
      <c r="W259" s="113"/>
      <c r="Y259" s="26" t="s">
        <v>19</v>
      </c>
      <c r="Z259" s="29"/>
      <c r="AA259" s="103">
        <v>4003</v>
      </c>
      <c r="AB259" s="29" t="s">
        <v>187</v>
      </c>
      <c r="AE259" s="27" t="s">
        <v>19</v>
      </c>
      <c r="AF259" s="27" t="s">
        <v>341</v>
      </c>
      <c r="AO259" s="104"/>
      <c r="AP259" s="103"/>
    </row>
    <row r="260" spans="2:42" s="27" customFormat="1" x14ac:dyDescent="0.35">
      <c r="B260" s="103">
        <v>400420</v>
      </c>
      <c r="C260" s="27" t="s">
        <v>887</v>
      </c>
      <c r="E260" s="104"/>
      <c r="G260" s="105"/>
      <c r="H260" s="105"/>
      <c r="I260" s="105"/>
      <c r="J260" s="105"/>
      <c r="K260" s="105"/>
      <c r="L260" s="105"/>
      <c r="M260" s="105"/>
      <c r="N260" s="105"/>
      <c r="O260" s="107"/>
      <c r="P260" s="107"/>
      <c r="Q260" s="107"/>
      <c r="R260" s="107"/>
      <c r="S260" s="113"/>
      <c r="T260" s="113"/>
      <c r="U260" s="113"/>
      <c r="V260" s="113"/>
      <c r="W260" s="113"/>
      <c r="Y260" s="26" t="s">
        <v>19</v>
      </c>
      <c r="Z260" s="29"/>
      <c r="AA260" s="103">
        <v>4003</v>
      </c>
      <c r="AB260" s="29" t="s">
        <v>187</v>
      </c>
      <c r="AE260" s="27" t="s">
        <v>19</v>
      </c>
      <c r="AF260" s="27" t="s">
        <v>35</v>
      </c>
      <c r="AO260" s="104"/>
      <c r="AP260" s="103"/>
    </row>
    <row r="261" spans="2:42" s="27" customFormat="1" x14ac:dyDescent="0.35">
      <c r="B261" s="103">
        <v>400430</v>
      </c>
      <c r="C261" s="27" t="s">
        <v>888</v>
      </c>
      <c r="E261" s="104"/>
      <c r="G261" s="105"/>
      <c r="H261" s="105"/>
      <c r="I261" s="105"/>
      <c r="J261" s="105"/>
      <c r="K261" s="105"/>
      <c r="L261" s="105"/>
      <c r="M261" s="105"/>
      <c r="N261" s="105"/>
      <c r="O261" s="107"/>
      <c r="P261" s="107"/>
      <c r="Q261" s="107"/>
      <c r="R261" s="107"/>
      <c r="S261" s="113"/>
      <c r="T261" s="113"/>
      <c r="U261" s="113"/>
      <c r="V261" s="113"/>
      <c r="W261" s="113"/>
      <c r="Y261" s="26" t="s">
        <v>19</v>
      </c>
      <c r="Z261" s="29"/>
      <c r="AA261" s="103">
        <v>4003</v>
      </c>
      <c r="AB261" s="29" t="s">
        <v>187</v>
      </c>
      <c r="AO261" s="104"/>
      <c r="AP261" s="103"/>
    </row>
    <row r="262" spans="2:42" s="27" customFormat="1" x14ac:dyDescent="0.35">
      <c r="B262" s="103">
        <v>400440</v>
      </c>
      <c r="C262" s="27" t="s">
        <v>889</v>
      </c>
      <c r="E262" s="104"/>
      <c r="G262" s="105"/>
      <c r="H262" s="105"/>
      <c r="I262" s="105"/>
      <c r="J262" s="105"/>
      <c r="K262" s="105"/>
      <c r="L262" s="105"/>
      <c r="M262" s="105"/>
      <c r="N262" s="105"/>
      <c r="O262" s="107"/>
      <c r="P262" s="107"/>
      <c r="Q262" s="107"/>
      <c r="R262" s="107"/>
      <c r="S262" s="113"/>
      <c r="T262" s="113"/>
      <c r="U262" s="113"/>
      <c r="V262" s="113"/>
      <c r="W262" s="113"/>
      <c r="Y262" s="26" t="s">
        <v>19</v>
      </c>
      <c r="Z262" s="29"/>
      <c r="AA262" s="103">
        <v>4003</v>
      </c>
      <c r="AB262" s="29" t="s">
        <v>187</v>
      </c>
      <c r="AO262" s="104"/>
      <c r="AP262" s="103"/>
    </row>
    <row r="263" spans="2:42" s="25" customFormat="1" x14ac:dyDescent="0.35">
      <c r="B263" s="86">
        <v>400510</v>
      </c>
      <c r="C263" s="25" t="s">
        <v>890</v>
      </c>
      <c r="E263" s="75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85"/>
      <c r="T263" s="85"/>
      <c r="U263" s="85"/>
      <c r="V263" s="85"/>
      <c r="W263" s="85"/>
      <c r="Y263" s="29" t="s">
        <v>35</v>
      </c>
      <c r="Z263" s="29"/>
      <c r="AA263" s="86">
        <v>4006</v>
      </c>
      <c r="AB263" s="29" t="s">
        <v>187</v>
      </c>
      <c r="AE263" s="25" t="s">
        <v>19</v>
      </c>
      <c r="AF263" s="25" t="s">
        <v>35</v>
      </c>
      <c r="AO263" s="75"/>
      <c r="AP263" s="86"/>
    </row>
    <row r="264" spans="2:42" s="25" customFormat="1" x14ac:dyDescent="0.35">
      <c r="B264" s="86">
        <v>400511</v>
      </c>
      <c r="C264" s="25" t="s">
        <v>891</v>
      </c>
      <c r="E264" s="75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85"/>
      <c r="T264" s="85"/>
      <c r="U264" s="85"/>
      <c r="V264" s="85"/>
      <c r="W264" s="85"/>
      <c r="Y264" s="29" t="s">
        <v>19</v>
      </c>
      <c r="Z264" s="29"/>
      <c r="AA264" s="86">
        <v>4006</v>
      </c>
      <c r="AB264" s="29" t="s">
        <v>187</v>
      </c>
      <c r="AE264" s="25" t="s">
        <v>19</v>
      </c>
      <c r="AF264" s="25" t="s">
        <v>35</v>
      </c>
      <c r="AO264" s="75"/>
      <c r="AP264" s="86"/>
    </row>
    <row r="265" spans="2:42" s="25" customFormat="1" x14ac:dyDescent="0.35">
      <c r="B265" s="86">
        <v>400512</v>
      </c>
      <c r="C265" s="25" t="s">
        <v>892</v>
      </c>
      <c r="E265" s="75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85"/>
      <c r="T265" s="85"/>
      <c r="U265" s="85"/>
      <c r="V265" s="85"/>
      <c r="W265" s="85"/>
      <c r="Y265" s="29" t="s">
        <v>35</v>
      </c>
      <c r="Z265" s="29"/>
      <c r="AA265" s="86">
        <v>4006</v>
      </c>
      <c r="AB265" s="29" t="s">
        <v>187</v>
      </c>
      <c r="AE265" s="25" t="s">
        <v>19</v>
      </c>
      <c r="AF265" s="25" t="s">
        <v>35</v>
      </c>
      <c r="AO265" s="75"/>
      <c r="AP265" s="86"/>
    </row>
    <row r="266" spans="2:42" s="25" customFormat="1" x14ac:dyDescent="0.35">
      <c r="B266" s="86">
        <v>400520</v>
      </c>
      <c r="C266" s="25" t="s">
        <v>893</v>
      </c>
      <c r="E266" s="75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85"/>
      <c r="T266" s="85"/>
      <c r="U266" s="85"/>
      <c r="V266" s="85"/>
      <c r="W266" s="85"/>
      <c r="Y266" s="29" t="s">
        <v>35</v>
      </c>
      <c r="Z266" s="29"/>
      <c r="AA266" s="86">
        <v>4006</v>
      </c>
      <c r="AB266" s="29" t="s">
        <v>187</v>
      </c>
      <c r="AE266" s="25" t="s">
        <v>19</v>
      </c>
      <c r="AF266" s="25" t="s">
        <v>32</v>
      </c>
      <c r="AO266" s="75"/>
      <c r="AP266" s="86"/>
    </row>
    <row r="267" spans="2:42" s="25" customFormat="1" x14ac:dyDescent="0.35">
      <c r="B267" s="86">
        <v>400530</v>
      </c>
      <c r="C267" s="25" t="s">
        <v>894</v>
      </c>
      <c r="E267" s="75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85"/>
      <c r="T267" s="85"/>
      <c r="U267" s="85"/>
      <c r="V267" s="85"/>
      <c r="W267" s="85"/>
      <c r="Y267" s="29" t="s">
        <v>35</v>
      </c>
      <c r="Z267" s="29"/>
      <c r="AA267" s="86">
        <v>4006</v>
      </c>
      <c r="AB267" s="29" t="s">
        <v>187</v>
      </c>
      <c r="AE267" s="25" t="s">
        <v>19</v>
      </c>
      <c r="AF267" s="25" t="s">
        <v>35</v>
      </c>
      <c r="AO267" s="75"/>
      <c r="AP267" s="86"/>
    </row>
    <row r="268" spans="2:42" s="25" customFormat="1" x14ac:dyDescent="0.35">
      <c r="B268" s="86">
        <v>400531</v>
      </c>
      <c r="C268" s="25" t="s">
        <v>895</v>
      </c>
      <c r="E268" s="75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85"/>
      <c r="T268" s="85"/>
      <c r="U268" s="85"/>
      <c r="V268" s="85"/>
      <c r="W268" s="85"/>
      <c r="Y268" s="29" t="s">
        <v>35</v>
      </c>
      <c r="Z268" s="29"/>
      <c r="AA268" s="86">
        <v>4006</v>
      </c>
      <c r="AB268" s="29" t="s">
        <v>187</v>
      </c>
      <c r="AO268" s="75"/>
      <c r="AP268" s="86"/>
    </row>
    <row r="269" spans="2:42" s="25" customFormat="1" x14ac:dyDescent="0.35">
      <c r="B269" s="86">
        <v>400532</v>
      </c>
      <c r="C269" s="25" t="s">
        <v>896</v>
      </c>
      <c r="E269" s="75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85"/>
      <c r="T269" s="85"/>
      <c r="U269" s="85"/>
      <c r="V269" s="85"/>
      <c r="W269" s="85"/>
      <c r="Y269" s="29" t="s">
        <v>35</v>
      </c>
      <c r="Z269" s="29"/>
      <c r="AA269" s="86">
        <v>4006</v>
      </c>
      <c r="AB269" s="29" t="s">
        <v>187</v>
      </c>
      <c r="AO269" s="75"/>
      <c r="AP269" s="86"/>
    </row>
    <row r="270" spans="2:42" s="25" customFormat="1" x14ac:dyDescent="0.35">
      <c r="B270" s="86">
        <v>400540</v>
      </c>
      <c r="C270" s="25" t="s">
        <v>897</v>
      </c>
      <c r="E270" s="75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85"/>
      <c r="T270" s="85"/>
      <c r="U270" s="85"/>
      <c r="V270" s="85"/>
      <c r="W270" s="85"/>
      <c r="Y270" s="29" t="s">
        <v>35</v>
      </c>
      <c r="Z270" s="29"/>
      <c r="AA270" s="86">
        <v>4006</v>
      </c>
      <c r="AB270" s="29" t="s">
        <v>187</v>
      </c>
      <c r="AO270" s="75"/>
      <c r="AP270" s="86"/>
    </row>
    <row r="271" spans="2:42" s="25" customFormat="1" x14ac:dyDescent="0.35">
      <c r="B271" s="86">
        <v>400610</v>
      </c>
      <c r="C271" s="25" t="s">
        <v>890</v>
      </c>
      <c r="E271" s="75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85"/>
      <c r="T271" s="85"/>
      <c r="U271" s="85"/>
      <c r="V271" s="85"/>
      <c r="W271" s="85"/>
      <c r="Y271" s="29" t="s">
        <v>35</v>
      </c>
      <c r="Z271" s="29"/>
      <c r="AA271" s="86">
        <v>4006</v>
      </c>
      <c r="AB271" s="29" t="s">
        <v>187</v>
      </c>
      <c r="AO271" s="75"/>
      <c r="AP271" s="86"/>
    </row>
    <row r="272" spans="2:42" s="25" customFormat="1" x14ac:dyDescent="0.35">
      <c r="B272" s="86">
        <v>400620</v>
      </c>
      <c r="C272" s="25" t="s">
        <v>893</v>
      </c>
      <c r="E272" s="75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85"/>
      <c r="T272" s="85"/>
      <c r="U272" s="85"/>
      <c r="V272" s="85"/>
      <c r="W272" s="85"/>
      <c r="Y272" s="29" t="s">
        <v>35</v>
      </c>
      <c r="Z272" s="29"/>
      <c r="AA272" s="86">
        <v>4006</v>
      </c>
      <c r="AB272" s="29" t="s">
        <v>187</v>
      </c>
      <c r="AO272" s="75"/>
      <c r="AP272" s="86"/>
    </row>
    <row r="273" spans="2:42" s="25" customFormat="1" x14ac:dyDescent="0.35">
      <c r="B273" s="86">
        <v>400630</v>
      </c>
      <c r="C273" s="25" t="s">
        <v>894</v>
      </c>
      <c r="E273" s="75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85"/>
      <c r="T273" s="85"/>
      <c r="U273" s="85"/>
      <c r="V273" s="85"/>
      <c r="W273" s="85"/>
      <c r="Y273" s="29" t="s">
        <v>35</v>
      </c>
      <c r="Z273" s="29"/>
      <c r="AA273" s="86">
        <v>4006</v>
      </c>
      <c r="AB273" s="29" t="s">
        <v>187</v>
      </c>
      <c r="AO273" s="75"/>
      <c r="AP273" s="86"/>
    </row>
    <row r="274" spans="2:42" s="44" customFormat="1" x14ac:dyDescent="0.35">
      <c r="B274" s="115">
        <v>400640</v>
      </c>
      <c r="C274" s="44" t="s">
        <v>897</v>
      </c>
      <c r="E274" s="116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21"/>
      <c r="T274" s="121"/>
      <c r="U274" s="121"/>
      <c r="V274" s="121"/>
      <c r="W274" s="121"/>
      <c r="Y274" s="122" t="s">
        <v>35</v>
      </c>
      <c r="Z274" s="122"/>
      <c r="AA274" s="115">
        <v>4006</v>
      </c>
      <c r="AB274" s="122" t="s">
        <v>187</v>
      </c>
      <c r="AO274" s="116"/>
      <c r="AP274" s="115"/>
    </row>
    <row r="275" spans="2:42" s="44" customFormat="1" x14ac:dyDescent="0.35">
      <c r="B275" s="115">
        <v>400650</v>
      </c>
      <c r="C275" s="44" t="s">
        <v>898</v>
      </c>
      <c r="E275" s="116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21"/>
      <c r="T275" s="121"/>
      <c r="U275" s="121"/>
      <c r="V275" s="121"/>
      <c r="W275" s="121"/>
      <c r="Y275" s="122" t="s">
        <v>35</v>
      </c>
      <c r="Z275" s="122"/>
      <c r="AA275" s="115">
        <v>4006</v>
      </c>
      <c r="AB275" s="122" t="s">
        <v>187</v>
      </c>
      <c r="AO275" s="116"/>
      <c r="AP275" s="115"/>
    </row>
    <row r="276" spans="2:42" s="44" customFormat="1" x14ac:dyDescent="0.35">
      <c r="B276" s="115">
        <v>400660</v>
      </c>
      <c r="C276" s="44" t="s">
        <v>899</v>
      </c>
      <c r="E276" s="116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21"/>
      <c r="T276" s="121"/>
      <c r="U276" s="121"/>
      <c r="V276" s="121"/>
      <c r="W276" s="121"/>
      <c r="Y276" s="122" t="s">
        <v>35</v>
      </c>
      <c r="Z276" s="122"/>
      <c r="AA276" s="115">
        <v>4006</v>
      </c>
      <c r="AB276" s="122" t="s">
        <v>187</v>
      </c>
      <c r="AO276" s="116"/>
      <c r="AP276" s="115"/>
    </row>
    <row r="277" spans="2:42" s="25" customFormat="1" x14ac:dyDescent="0.35">
      <c r="B277" s="86">
        <v>400801</v>
      </c>
      <c r="C277" s="118" t="s">
        <v>900</v>
      </c>
      <c r="E277" s="75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85"/>
      <c r="T277" s="85"/>
      <c r="U277" s="85"/>
      <c r="V277" s="85"/>
      <c r="W277" s="85"/>
      <c r="Y277" s="29" t="s">
        <v>19</v>
      </c>
      <c r="Z277" s="29"/>
      <c r="AA277" s="86">
        <v>4008</v>
      </c>
      <c r="AB277" s="29" t="s">
        <v>19</v>
      </c>
      <c r="AE277" s="25" t="s">
        <v>19</v>
      </c>
      <c r="AF277" s="25" t="s">
        <v>491</v>
      </c>
      <c r="AO277" s="75"/>
      <c r="AP277" s="86"/>
    </row>
    <row r="278" spans="2:42" s="25" customFormat="1" x14ac:dyDescent="0.35">
      <c r="B278" s="86">
        <v>400802</v>
      </c>
      <c r="C278" s="118" t="s">
        <v>901</v>
      </c>
      <c r="E278" s="75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85"/>
      <c r="T278" s="85"/>
      <c r="U278" s="85"/>
      <c r="V278" s="85"/>
      <c r="W278" s="85"/>
      <c r="Y278" s="29" t="s">
        <v>19</v>
      </c>
      <c r="Z278" s="29"/>
      <c r="AA278" s="86">
        <v>4008</v>
      </c>
      <c r="AB278" s="29" t="s">
        <v>19</v>
      </c>
      <c r="AE278" s="25" t="s">
        <v>19</v>
      </c>
      <c r="AF278" s="25" t="s">
        <v>491</v>
      </c>
      <c r="AO278" s="75"/>
      <c r="AP278" s="86"/>
    </row>
    <row r="279" spans="2:42" s="25" customFormat="1" x14ac:dyDescent="0.35">
      <c r="B279" s="86">
        <v>400803</v>
      </c>
      <c r="C279" s="118" t="s">
        <v>902</v>
      </c>
      <c r="E279" s="75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85"/>
      <c r="T279" s="85"/>
      <c r="U279" s="85"/>
      <c r="V279" s="85"/>
      <c r="W279" s="85"/>
      <c r="Y279" s="29" t="s">
        <v>19</v>
      </c>
      <c r="Z279" s="29"/>
      <c r="AA279" s="86">
        <v>4008</v>
      </c>
      <c r="AB279" s="29" t="s">
        <v>19</v>
      </c>
      <c r="AE279" s="25" t="s">
        <v>19</v>
      </c>
      <c r="AF279" s="25" t="s">
        <v>19</v>
      </c>
      <c r="AO279" s="75"/>
      <c r="AP279" s="86"/>
    </row>
    <row r="280" spans="2:42" s="25" customFormat="1" x14ac:dyDescent="0.35">
      <c r="B280" s="86">
        <v>400804</v>
      </c>
      <c r="C280" s="118" t="s">
        <v>903</v>
      </c>
      <c r="E280" s="75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85"/>
      <c r="T280" s="85"/>
      <c r="U280" s="85"/>
      <c r="V280" s="85"/>
      <c r="W280" s="85"/>
      <c r="Y280" s="29" t="s">
        <v>19</v>
      </c>
      <c r="Z280" s="29"/>
      <c r="AA280" s="86">
        <v>4008</v>
      </c>
      <c r="AB280" s="29" t="s">
        <v>19</v>
      </c>
      <c r="AE280" s="25" t="s">
        <v>19</v>
      </c>
      <c r="AF280" s="25" t="s">
        <v>19</v>
      </c>
      <c r="AO280" s="75"/>
      <c r="AP280" s="86"/>
    </row>
    <row r="281" spans="2:42" s="25" customFormat="1" x14ac:dyDescent="0.35">
      <c r="B281" s="86">
        <v>400805</v>
      </c>
      <c r="C281" s="118" t="s">
        <v>904</v>
      </c>
      <c r="E281" s="75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85"/>
      <c r="T281" s="85"/>
      <c r="U281" s="85"/>
      <c r="V281" s="85"/>
      <c r="W281" s="85"/>
      <c r="Y281" s="29" t="s">
        <v>35</v>
      </c>
      <c r="Z281" s="29"/>
      <c r="AA281" s="86">
        <v>4008</v>
      </c>
      <c r="AB281" s="29" t="s">
        <v>19</v>
      </c>
      <c r="AE281" s="25" t="s">
        <v>19</v>
      </c>
      <c r="AF281" s="25" t="s">
        <v>491</v>
      </c>
      <c r="AO281" s="75"/>
      <c r="AP281" s="86"/>
    </row>
    <row r="282" spans="2:42" s="25" customFormat="1" x14ac:dyDescent="0.35">
      <c r="B282" s="86">
        <v>400806</v>
      </c>
      <c r="C282" s="118" t="s">
        <v>905</v>
      </c>
      <c r="E282" s="75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85"/>
      <c r="T282" s="85"/>
      <c r="U282" s="85"/>
      <c r="V282" s="85"/>
      <c r="W282" s="85"/>
      <c r="Y282" s="29" t="s">
        <v>35</v>
      </c>
      <c r="Z282" s="29"/>
      <c r="AA282" s="86">
        <v>4008</v>
      </c>
      <c r="AB282" s="29" t="s">
        <v>19</v>
      </c>
      <c r="AE282" s="25" t="s">
        <v>19</v>
      </c>
      <c r="AF282" s="25" t="s">
        <v>69</v>
      </c>
      <c r="AO282" s="75"/>
      <c r="AP282" s="86"/>
    </row>
    <row r="283" spans="2:42" s="25" customFormat="1" x14ac:dyDescent="0.35">
      <c r="B283" s="86">
        <v>400807</v>
      </c>
      <c r="C283" s="118" t="s">
        <v>906</v>
      </c>
      <c r="E283" s="75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85"/>
      <c r="T283" s="85"/>
      <c r="U283" s="85"/>
      <c r="V283" s="85"/>
      <c r="W283" s="85"/>
      <c r="Y283" s="29" t="s">
        <v>35</v>
      </c>
      <c r="Z283" s="29"/>
      <c r="AA283" s="86">
        <v>4008</v>
      </c>
      <c r="AB283" s="29" t="s">
        <v>19</v>
      </c>
      <c r="AE283" s="25" t="s">
        <v>19</v>
      </c>
      <c r="AF283" s="25" t="s">
        <v>225</v>
      </c>
      <c r="AO283" s="75"/>
      <c r="AP283" s="86"/>
    </row>
    <row r="284" spans="2:42" s="25" customFormat="1" x14ac:dyDescent="0.35">
      <c r="B284" s="86">
        <v>400808</v>
      </c>
      <c r="C284" s="118" t="s">
        <v>907</v>
      </c>
      <c r="E284" s="75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85"/>
      <c r="T284" s="85"/>
      <c r="U284" s="85"/>
      <c r="V284" s="85"/>
      <c r="W284" s="85"/>
      <c r="Y284" s="29" t="s">
        <v>35</v>
      </c>
      <c r="Z284" s="29"/>
      <c r="AA284" s="86">
        <v>4008</v>
      </c>
      <c r="AB284" s="29" t="s">
        <v>19</v>
      </c>
      <c r="AE284" s="25" t="s">
        <v>19</v>
      </c>
      <c r="AF284" s="25" t="s">
        <v>341</v>
      </c>
      <c r="AO284" s="75"/>
      <c r="AP284" s="86"/>
    </row>
    <row r="285" spans="2:42" s="25" customFormat="1" x14ac:dyDescent="0.35">
      <c r="B285" s="86">
        <v>400809</v>
      </c>
      <c r="C285" s="118" t="s">
        <v>908</v>
      </c>
      <c r="E285" s="75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85"/>
      <c r="T285" s="85"/>
      <c r="U285" s="85"/>
      <c r="V285" s="85"/>
      <c r="W285" s="85"/>
      <c r="Y285" s="29" t="s">
        <v>35</v>
      </c>
      <c r="Z285" s="29"/>
      <c r="AA285" s="86">
        <v>4008</v>
      </c>
      <c r="AB285" s="29" t="s">
        <v>19</v>
      </c>
      <c r="AE285" s="25" t="s">
        <v>19</v>
      </c>
      <c r="AF285" s="25" t="s">
        <v>909</v>
      </c>
      <c r="AO285" s="75"/>
      <c r="AP285" s="86"/>
    </row>
    <row r="286" spans="2:42" s="25" customFormat="1" x14ac:dyDescent="0.35">
      <c r="B286" s="86">
        <v>400810</v>
      </c>
      <c r="C286" s="118" t="s">
        <v>910</v>
      </c>
      <c r="E286" s="75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85"/>
      <c r="T286" s="85"/>
      <c r="U286" s="85"/>
      <c r="V286" s="85"/>
      <c r="W286" s="85"/>
      <c r="Y286" s="29" t="s">
        <v>35</v>
      </c>
      <c r="Z286" s="29"/>
      <c r="AA286" s="86">
        <v>4008</v>
      </c>
      <c r="AB286" s="29" t="s">
        <v>19</v>
      </c>
      <c r="AE286" s="25" t="s">
        <v>19</v>
      </c>
      <c r="AF286" s="25" t="s">
        <v>209</v>
      </c>
      <c r="AO286" s="75"/>
      <c r="AP286" s="86"/>
    </row>
    <row r="287" spans="2:42" x14ac:dyDescent="0.35">
      <c r="B287" s="45">
        <v>400811</v>
      </c>
      <c r="C287" s="119" t="s">
        <v>911</v>
      </c>
      <c r="F287" s="77"/>
      <c r="Y287" s="29" t="s">
        <v>35</v>
      </c>
      <c r="AA287" s="45">
        <v>4008</v>
      </c>
      <c r="AB287" s="29" t="s">
        <v>19</v>
      </c>
      <c r="AE287" s="29" t="s">
        <v>19</v>
      </c>
      <c r="AF287" s="29" t="s">
        <v>189</v>
      </c>
    </row>
    <row r="288" spans="2:42" x14ac:dyDescent="0.35">
      <c r="B288" s="45">
        <v>400812</v>
      </c>
      <c r="C288" s="119" t="s">
        <v>912</v>
      </c>
      <c r="F288" s="77"/>
      <c r="Y288" s="29" t="s">
        <v>35</v>
      </c>
      <c r="AA288" s="45">
        <v>4008</v>
      </c>
      <c r="AB288" s="29" t="s">
        <v>19</v>
      </c>
      <c r="AE288" s="29" t="s">
        <v>19</v>
      </c>
      <c r="AF288" s="29" t="s">
        <v>187</v>
      </c>
    </row>
    <row r="289" spans="2:32" x14ac:dyDescent="0.35">
      <c r="B289" s="45">
        <v>400813</v>
      </c>
      <c r="C289" s="119" t="s">
        <v>913</v>
      </c>
      <c r="F289" s="77"/>
      <c r="Y289" s="29" t="s">
        <v>35</v>
      </c>
      <c r="AA289" s="45">
        <v>4008</v>
      </c>
      <c r="AB289" s="29" t="s">
        <v>19</v>
      </c>
      <c r="AE289" s="29" t="s">
        <v>19</v>
      </c>
      <c r="AF289" s="29" t="s">
        <v>187</v>
      </c>
    </row>
    <row r="290" spans="2:32" x14ac:dyDescent="0.35">
      <c r="B290" s="45">
        <v>400814</v>
      </c>
      <c r="C290" s="119" t="s">
        <v>914</v>
      </c>
      <c r="F290" s="77"/>
      <c r="Y290" s="29" t="s">
        <v>35</v>
      </c>
      <c r="AA290" s="45">
        <v>4008</v>
      </c>
      <c r="AB290" s="29" t="s">
        <v>19</v>
      </c>
      <c r="AE290" s="29" t="s">
        <v>19</v>
      </c>
      <c r="AF290" s="29" t="s">
        <v>187</v>
      </c>
    </row>
    <row r="291" spans="2:32" x14ac:dyDescent="0.35">
      <c r="B291" s="45">
        <v>403101</v>
      </c>
      <c r="C291" s="29" t="s">
        <v>915</v>
      </c>
      <c r="F291" s="77"/>
      <c r="Y291" s="29" t="s">
        <v>35</v>
      </c>
      <c r="AA291" s="45">
        <v>4031</v>
      </c>
      <c r="AB291" s="29" t="s">
        <v>19</v>
      </c>
      <c r="AD291" s="29" t="s">
        <v>209</v>
      </c>
      <c r="AE291" s="29" t="s">
        <v>19</v>
      </c>
      <c r="AF291" s="29" t="s">
        <v>225</v>
      </c>
    </row>
    <row r="292" spans="2:32" x14ac:dyDescent="0.35">
      <c r="B292" s="45">
        <v>403102</v>
      </c>
      <c r="C292" s="29" t="s">
        <v>916</v>
      </c>
      <c r="F292" s="77"/>
      <c r="Y292" s="29" t="s">
        <v>35</v>
      </c>
      <c r="AA292" s="45">
        <v>4031</v>
      </c>
      <c r="AB292" s="29" t="s">
        <v>19</v>
      </c>
      <c r="AE292" s="29" t="s">
        <v>19</v>
      </c>
      <c r="AF292" s="29" t="s">
        <v>225</v>
      </c>
    </row>
    <row r="293" spans="2:32" x14ac:dyDescent="0.35">
      <c r="B293" s="45">
        <v>403103</v>
      </c>
      <c r="C293" s="29" t="s">
        <v>917</v>
      </c>
      <c r="F293" s="77"/>
      <c r="Y293" s="29" t="s">
        <v>35</v>
      </c>
      <c r="AA293" s="45">
        <v>4031</v>
      </c>
      <c r="AB293" s="29" t="s">
        <v>19</v>
      </c>
      <c r="AD293" s="29" t="s">
        <v>341</v>
      </c>
      <c r="AE293" s="29" t="s">
        <v>19</v>
      </c>
      <c r="AF293" s="29" t="s">
        <v>809</v>
      </c>
    </row>
    <row r="294" spans="2:32" x14ac:dyDescent="0.35">
      <c r="B294" s="45">
        <v>403104</v>
      </c>
      <c r="C294" s="29" t="s">
        <v>918</v>
      </c>
      <c r="F294" s="77"/>
      <c r="Y294" s="29" t="s">
        <v>19</v>
      </c>
      <c r="AA294" s="45">
        <v>4031</v>
      </c>
      <c r="AB294" s="29" t="s">
        <v>19</v>
      </c>
      <c r="AD294" s="29" t="s">
        <v>19</v>
      </c>
    </row>
    <row r="295" spans="2:32" x14ac:dyDescent="0.35">
      <c r="B295" s="45">
        <v>403105</v>
      </c>
      <c r="C295" s="29" t="s">
        <v>919</v>
      </c>
      <c r="F295" s="77"/>
      <c r="Y295" s="29" t="s">
        <v>32</v>
      </c>
      <c r="AA295" s="45">
        <v>4031</v>
      </c>
      <c r="AB295" s="29" t="s">
        <v>19</v>
      </c>
      <c r="AE295" s="29" t="s">
        <v>19</v>
      </c>
      <c r="AF295" s="29" t="s">
        <v>35</v>
      </c>
    </row>
    <row r="296" spans="2:32" ht="16.5" x14ac:dyDescent="0.2">
      <c r="B296" s="45">
        <v>403106</v>
      </c>
      <c r="C296" s="29" t="s">
        <v>920</v>
      </c>
      <c r="F296" s="77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7"/>
      <c r="T296" s="77"/>
      <c r="U296" s="77"/>
      <c r="V296" s="77"/>
      <c r="W296" s="77"/>
      <c r="Y296" s="29" t="s">
        <v>35</v>
      </c>
      <c r="AA296" s="45">
        <v>4031</v>
      </c>
      <c r="AB296" s="29" t="s">
        <v>19</v>
      </c>
      <c r="AD296" s="29" t="s">
        <v>189</v>
      </c>
      <c r="AE296" s="29" t="s">
        <v>19</v>
      </c>
      <c r="AF296" s="29" t="s">
        <v>189</v>
      </c>
    </row>
    <row r="297" spans="2:32" ht="21" customHeight="1" x14ac:dyDescent="0.2">
      <c r="B297" s="45">
        <v>403201</v>
      </c>
      <c r="C297" s="29" t="s">
        <v>921</v>
      </c>
      <c r="F297" s="77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29"/>
      <c r="T297" s="29"/>
      <c r="U297" s="29"/>
      <c r="V297" s="29"/>
      <c r="W297" s="29"/>
      <c r="Y297" s="29" t="s">
        <v>32</v>
      </c>
      <c r="AA297" s="45">
        <v>4032</v>
      </c>
      <c r="AB297" s="29" t="s">
        <v>19</v>
      </c>
      <c r="AE297" s="29" t="s">
        <v>19</v>
      </c>
      <c r="AF297" s="29" t="s">
        <v>225</v>
      </c>
    </row>
    <row r="298" spans="2:32" ht="16.5" x14ac:dyDescent="0.2">
      <c r="B298" s="45">
        <v>403202</v>
      </c>
      <c r="C298" s="29" t="s">
        <v>922</v>
      </c>
      <c r="F298" s="77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29"/>
      <c r="T298" s="29"/>
      <c r="U298" s="29"/>
      <c r="V298" s="29"/>
      <c r="W298" s="29"/>
      <c r="Y298" s="29" t="s">
        <v>19</v>
      </c>
      <c r="AA298" s="45">
        <v>4032</v>
      </c>
      <c r="AB298" s="29" t="s">
        <v>187</v>
      </c>
      <c r="AE298" s="29" t="s">
        <v>19</v>
      </c>
      <c r="AF298" s="29" t="s">
        <v>225</v>
      </c>
    </row>
    <row r="299" spans="2:32" ht="16.5" x14ac:dyDescent="0.2">
      <c r="B299" s="45">
        <v>403203</v>
      </c>
      <c r="C299" s="29" t="s">
        <v>923</v>
      </c>
      <c r="F299" s="77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29"/>
      <c r="T299" s="29"/>
      <c r="U299" s="29"/>
      <c r="V299" s="29"/>
      <c r="W299" s="29"/>
      <c r="Y299" s="29" t="s">
        <v>19</v>
      </c>
      <c r="AA299" s="45">
        <v>4032</v>
      </c>
      <c r="AB299" s="29" t="s">
        <v>187</v>
      </c>
      <c r="AE299" s="29" t="s">
        <v>19</v>
      </c>
      <c r="AF299" s="29" t="s">
        <v>225</v>
      </c>
    </row>
    <row r="300" spans="2:32" ht="16.5" x14ac:dyDescent="0.2">
      <c r="B300" s="45">
        <v>403204</v>
      </c>
      <c r="C300" s="29" t="s">
        <v>924</v>
      </c>
      <c r="F300" s="77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29"/>
      <c r="T300" s="29"/>
      <c r="U300" s="29"/>
      <c r="V300" s="29"/>
      <c r="W300" s="29"/>
      <c r="Y300" s="29" t="s">
        <v>19</v>
      </c>
      <c r="AA300" s="45">
        <v>4032</v>
      </c>
      <c r="AB300" s="29" t="s">
        <v>187</v>
      </c>
      <c r="AE300" s="29" t="s">
        <v>19</v>
      </c>
      <c r="AF300" s="29" t="s">
        <v>225</v>
      </c>
    </row>
    <row r="301" spans="2:32" ht="16.5" x14ac:dyDescent="0.2">
      <c r="B301" s="45">
        <v>403205</v>
      </c>
      <c r="C301" s="29" t="s">
        <v>925</v>
      </c>
      <c r="F301" s="77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29"/>
      <c r="T301" s="29"/>
      <c r="U301" s="29"/>
      <c r="V301" s="29"/>
      <c r="W301" s="29"/>
      <c r="Y301" s="29" t="s">
        <v>32</v>
      </c>
      <c r="AA301" s="45">
        <v>4032</v>
      </c>
      <c r="AB301" s="29" t="s">
        <v>187</v>
      </c>
      <c r="AE301" s="29" t="s">
        <v>19</v>
      </c>
      <c r="AF301" s="29" t="s">
        <v>225</v>
      </c>
    </row>
    <row r="302" spans="2:32" ht="16.5" x14ac:dyDescent="0.2">
      <c r="B302" s="45">
        <v>403206</v>
      </c>
      <c r="C302" s="29" t="s">
        <v>926</v>
      </c>
      <c r="F302" s="77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29"/>
      <c r="T302" s="29"/>
      <c r="U302" s="29"/>
      <c r="V302" s="29"/>
      <c r="W302" s="29"/>
      <c r="Y302" s="29" t="s">
        <v>19</v>
      </c>
      <c r="AA302" s="45">
        <v>4032</v>
      </c>
      <c r="AB302" s="29" t="s">
        <v>187</v>
      </c>
      <c r="AE302" s="29" t="s">
        <v>19</v>
      </c>
      <c r="AF302" s="29" t="s">
        <v>809</v>
      </c>
    </row>
    <row r="303" spans="2:32" ht="16.5" x14ac:dyDescent="0.2">
      <c r="B303" s="45">
        <v>403301</v>
      </c>
      <c r="C303" s="29" t="s">
        <v>927</v>
      </c>
      <c r="F303" s="77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29"/>
      <c r="T303" s="29"/>
      <c r="U303" s="29"/>
      <c r="V303" s="29"/>
      <c r="W303" s="29"/>
      <c r="Y303" s="29" t="s">
        <v>32</v>
      </c>
      <c r="AA303" s="45">
        <v>4033</v>
      </c>
      <c r="AB303" s="29" t="s">
        <v>19</v>
      </c>
      <c r="AE303" s="29" t="s">
        <v>19</v>
      </c>
      <c r="AF303" s="29" t="s">
        <v>341</v>
      </c>
    </row>
    <row r="304" spans="2:32" ht="16.5" x14ac:dyDescent="0.2">
      <c r="B304" s="45">
        <v>403302</v>
      </c>
      <c r="C304" s="29" t="s">
        <v>928</v>
      </c>
      <c r="F304" s="77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29"/>
      <c r="T304" s="29"/>
      <c r="U304" s="29"/>
      <c r="V304" s="29"/>
      <c r="W304" s="29"/>
      <c r="Y304" s="29" t="s">
        <v>19</v>
      </c>
      <c r="AA304" s="45">
        <v>4033</v>
      </c>
      <c r="AB304" s="29" t="s">
        <v>187</v>
      </c>
      <c r="AE304" s="29" t="s">
        <v>19</v>
      </c>
      <c r="AF304" s="29" t="s">
        <v>189</v>
      </c>
    </row>
    <row r="305" spans="2:42" ht="16.5" x14ac:dyDescent="0.2">
      <c r="B305" s="45">
        <v>403303</v>
      </c>
      <c r="C305" s="29" t="s">
        <v>929</v>
      </c>
      <c r="F305" s="77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29"/>
      <c r="T305" s="29"/>
      <c r="U305" s="29"/>
      <c r="V305" s="29"/>
      <c r="W305" s="29"/>
      <c r="Y305" s="29" t="s">
        <v>19</v>
      </c>
      <c r="AA305" s="45">
        <v>4033</v>
      </c>
      <c r="AB305" s="29" t="s">
        <v>187</v>
      </c>
      <c r="AE305" s="29" t="s">
        <v>19</v>
      </c>
      <c r="AF305" s="29" t="s">
        <v>189</v>
      </c>
    </row>
    <row r="306" spans="2:42" ht="16.5" x14ac:dyDescent="0.2">
      <c r="B306" s="45">
        <v>403304</v>
      </c>
      <c r="C306" s="29" t="s">
        <v>930</v>
      </c>
      <c r="F306" s="77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29"/>
      <c r="T306" s="29"/>
      <c r="U306" s="29"/>
      <c r="V306" s="29"/>
      <c r="W306" s="29"/>
      <c r="Y306" s="29" t="s">
        <v>19</v>
      </c>
      <c r="AA306" s="45">
        <v>4033</v>
      </c>
      <c r="AB306" s="29" t="s">
        <v>187</v>
      </c>
      <c r="AE306" s="29" t="s">
        <v>19</v>
      </c>
      <c r="AF306" s="29" t="s">
        <v>876</v>
      </c>
    </row>
    <row r="307" spans="2:42" ht="16.5" x14ac:dyDescent="0.2">
      <c r="B307" s="45">
        <v>403305</v>
      </c>
      <c r="C307" s="29" t="s">
        <v>931</v>
      </c>
      <c r="F307" s="77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29"/>
      <c r="T307" s="29"/>
      <c r="U307" s="29"/>
      <c r="V307" s="29"/>
      <c r="W307" s="29"/>
      <c r="Y307" s="29" t="s">
        <v>19</v>
      </c>
      <c r="AA307" s="45">
        <v>4033</v>
      </c>
      <c r="AB307" s="29" t="s">
        <v>187</v>
      </c>
      <c r="AE307" s="29" t="s">
        <v>19</v>
      </c>
      <c r="AF307" s="29" t="s">
        <v>189</v>
      </c>
    </row>
    <row r="308" spans="2:42" ht="16.5" x14ac:dyDescent="0.2">
      <c r="B308" s="45">
        <v>403306</v>
      </c>
      <c r="C308" s="29" t="s">
        <v>932</v>
      </c>
      <c r="F308" s="77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29"/>
      <c r="T308" s="29"/>
      <c r="U308" s="29"/>
      <c r="V308" s="29"/>
      <c r="W308" s="29"/>
      <c r="Y308" s="29" t="s">
        <v>19</v>
      </c>
      <c r="AA308" s="45">
        <v>4033</v>
      </c>
      <c r="AB308" s="29" t="s">
        <v>187</v>
      </c>
      <c r="AE308" s="29" t="s">
        <v>19</v>
      </c>
      <c r="AF308" s="29" t="s">
        <v>189</v>
      </c>
    </row>
    <row r="309" spans="2:42" ht="16.5" x14ac:dyDescent="0.2">
      <c r="B309" s="45">
        <v>403307</v>
      </c>
      <c r="C309" s="29" t="s">
        <v>933</v>
      </c>
      <c r="F309" s="77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7"/>
      <c r="T309" s="77"/>
      <c r="U309" s="77"/>
      <c r="V309" s="77"/>
      <c r="W309" s="77"/>
      <c r="Y309" s="29" t="s">
        <v>19</v>
      </c>
      <c r="AA309" s="45">
        <v>4033</v>
      </c>
      <c r="AB309" s="29" t="s">
        <v>187</v>
      </c>
      <c r="AD309" s="29" t="s">
        <v>809</v>
      </c>
      <c r="AE309" s="29" t="s">
        <v>19</v>
      </c>
      <c r="AF309" s="29" t="s">
        <v>809</v>
      </c>
      <c r="AM309" s="46"/>
      <c r="AO309" s="29"/>
    </row>
    <row r="310" spans="2:42" ht="16.5" x14ac:dyDescent="0.2">
      <c r="B310" s="45">
        <v>403308</v>
      </c>
      <c r="C310" s="29" t="s">
        <v>934</v>
      </c>
      <c r="F310" s="77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7"/>
      <c r="T310" s="77"/>
      <c r="U310" s="77"/>
      <c r="V310" s="77"/>
      <c r="W310" s="77"/>
      <c r="Y310" s="29" t="s">
        <v>19</v>
      </c>
      <c r="AA310" s="45">
        <v>4033</v>
      </c>
      <c r="AB310" s="29" t="s">
        <v>187</v>
      </c>
      <c r="AD310" s="29" t="s">
        <v>809</v>
      </c>
      <c r="AE310" s="29" t="s">
        <v>19</v>
      </c>
      <c r="AF310" s="29" t="s">
        <v>809</v>
      </c>
    </row>
    <row r="311" spans="2:42" ht="16.5" x14ac:dyDescent="0.2">
      <c r="B311" s="45">
        <v>403309</v>
      </c>
      <c r="C311" s="29" t="s">
        <v>935</v>
      </c>
      <c r="F311" s="77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7"/>
      <c r="T311" s="77"/>
      <c r="U311" s="77"/>
      <c r="V311" s="77"/>
      <c r="W311" s="77"/>
      <c r="Y311" s="29" t="s">
        <v>19</v>
      </c>
      <c r="AA311" s="45">
        <v>4033</v>
      </c>
      <c r="AB311" s="29" t="s">
        <v>187</v>
      </c>
      <c r="AD311" s="29" t="s">
        <v>809</v>
      </c>
      <c r="AE311" s="29" t="s">
        <v>19</v>
      </c>
      <c r="AF311" s="29" t="s">
        <v>809</v>
      </c>
      <c r="AM311" s="46"/>
      <c r="AO311" s="29"/>
    </row>
    <row r="312" spans="2:42" ht="16.5" x14ac:dyDescent="0.2">
      <c r="B312" s="45">
        <v>403310</v>
      </c>
      <c r="C312" s="29" t="s">
        <v>936</v>
      </c>
      <c r="F312" s="77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29"/>
      <c r="T312" s="29"/>
      <c r="U312" s="29"/>
      <c r="V312" s="29"/>
      <c r="W312" s="29"/>
      <c r="Y312" s="29" t="s">
        <v>19</v>
      </c>
      <c r="AA312" s="45">
        <v>4033</v>
      </c>
      <c r="AB312" s="29" t="s">
        <v>187</v>
      </c>
      <c r="AE312" s="29" t="s">
        <v>19</v>
      </c>
      <c r="AF312" s="29" t="s">
        <v>189</v>
      </c>
    </row>
    <row r="313" spans="2:42" ht="16.5" x14ac:dyDescent="0.2">
      <c r="B313" s="45">
        <v>403311</v>
      </c>
      <c r="C313" s="29" t="s">
        <v>937</v>
      </c>
      <c r="F313" s="77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29"/>
      <c r="T313" s="29"/>
      <c r="U313" s="29"/>
      <c r="V313" s="29"/>
      <c r="W313" s="29"/>
      <c r="Y313" s="29" t="s">
        <v>19</v>
      </c>
      <c r="AA313" s="45">
        <v>4033</v>
      </c>
      <c r="AB313" s="29" t="s">
        <v>187</v>
      </c>
      <c r="AE313" s="29" t="s">
        <v>19</v>
      </c>
      <c r="AF313" s="29" t="s">
        <v>189</v>
      </c>
    </row>
    <row r="314" spans="2:42" ht="16.5" x14ac:dyDescent="0.2">
      <c r="B314" s="45">
        <v>403312</v>
      </c>
      <c r="C314" s="29" t="s">
        <v>938</v>
      </c>
      <c r="F314" s="77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29"/>
      <c r="T314" s="29"/>
      <c r="U314" s="29"/>
      <c r="V314" s="29"/>
      <c r="W314" s="29"/>
      <c r="Y314" s="29" t="s">
        <v>19</v>
      </c>
      <c r="AA314" s="45">
        <v>4033</v>
      </c>
      <c r="AB314" s="29" t="s">
        <v>19</v>
      </c>
      <c r="AE314" s="29" t="s">
        <v>19</v>
      </c>
      <c r="AF314" s="29" t="s">
        <v>189</v>
      </c>
    </row>
    <row r="315" spans="2:42" x14ac:dyDescent="0.35">
      <c r="B315" s="45">
        <v>403313</v>
      </c>
      <c r="C315" s="29" t="s">
        <v>939</v>
      </c>
      <c r="N315" s="78"/>
      <c r="O315" s="78"/>
      <c r="P315" s="78"/>
      <c r="Q315" s="78"/>
      <c r="R315" s="78"/>
      <c r="S315" s="77"/>
      <c r="T315" s="77"/>
      <c r="U315" s="77"/>
      <c r="V315" s="77"/>
      <c r="W315" s="77"/>
      <c r="Y315" s="29" t="s">
        <v>19</v>
      </c>
      <c r="AA315" s="45">
        <v>4033</v>
      </c>
      <c r="AB315" s="29" t="s">
        <v>187</v>
      </c>
      <c r="AE315" s="29" t="s">
        <v>19</v>
      </c>
      <c r="AF315" s="29" t="s">
        <v>940</v>
      </c>
      <c r="AO315" s="29"/>
    </row>
    <row r="316" spans="2:42" x14ac:dyDescent="0.35">
      <c r="B316" s="45">
        <v>403314</v>
      </c>
      <c r="C316" s="29" t="s">
        <v>941</v>
      </c>
      <c r="N316" s="78"/>
      <c r="O316" s="78"/>
      <c r="P316" s="78"/>
      <c r="Q316" s="78"/>
      <c r="R316" s="78"/>
      <c r="S316" s="77"/>
      <c r="T316" s="77"/>
      <c r="U316" s="77"/>
      <c r="V316" s="77"/>
      <c r="W316" s="77"/>
      <c r="Y316" s="29" t="s">
        <v>19</v>
      </c>
      <c r="AA316" s="45">
        <v>4033</v>
      </c>
      <c r="AB316" s="29" t="s">
        <v>19</v>
      </c>
      <c r="AE316" s="29" t="s">
        <v>19</v>
      </c>
      <c r="AF316" s="29" t="s">
        <v>809</v>
      </c>
      <c r="AO316" s="29"/>
    </row>
    <row r="317" spans="2:42" x14ac:dyDescent="0.35">
      <c r="B317" s="45">
        <v>403315</v>
      </c>
      <c r="C317" s="29" t="s">
        <v>942</v>
      </c>
      <c r="N317" s="78"/>
      <c r="O317" s="78"/>
      <c r="P317" s="78"/>
      <c r="Q317" s="78"/>
      <c r="R317" s="78"/>
      <c r="S317" s="77"/>
      <c r="T317" s="77"/>
      <c r="U317" s="77"/>
      <c r="V317" s="77"/>
      <c r="W317" s="77"/>
      <c r="Y317" s="29" t="s">
        <v>19</v>
      </c>
      <c r="AA317" s="45">
        <v>4033</v>
      </c>
      <c r="AB317" s="29" t="s">
        <v>19</v>
      </c>
      <c r="AE317" s="29" t="s">
        <v>19</v>
      </c>
      <c r="AF317" s="29" t="s">
        <v>943</v>
      </c>
      <c r="AO317" s="29"/>
    </row>
    <row r="318" spans="2:42" ht="16.5" x14ac:dyDescent="0.2">
      <c r="B318" s="45">
        <v>40330101</v>
      </c>
      <c r="C318" s="29" t="s">
        <v>944</v>
      </c>
      <c r="F318" s="77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7"/>
      <c r="T318" s="77"/>
      <c r="U318" s="77"/>
      <c r="V318" s="77"/>
      <c r="W318" s="77"/>
      <c r="Y318" s="29" t="s">
        <v>19</v>
      </c>
      <c r="AA318" s="45">
        <v>403301</v>
      </c>
      <c r="AB318" s="29" t="s">
        <v>187</v>
      </c>
      <c r="AM318" s="46"/>
      <c r="AO318" s="29"/>
    </row>
    <row r="319" spans="2:42" x14ac:dyDescent="0.35">
      <c r="B319" s="45">
        <v>403207</v>
      </c>
      <c r="C319" s="29" t="s">
        <v>945</v>
      </c>
      <c r="N319" s="78"/>
      <c r="O319" s="78"/>
      <c r="P319" s="78"/>
      <c r="Q319" s="78"/>
      <c r="R319" s="78"/>
      <c r="S319" s="77"/>
      <c r="T319" s="77"/>
      <c r="U319" s="77"/>
      <c r="V319" s="77"/>
      <c r="W319" s="77"/>
      <c r="Y319" s="29" t="s">
        <v>19</v>
      </c>
      <c r="AA319" s="45">
        <v>4032</v>
      </c>
      <c r="AB319" s="29" t="s">
        <v>187</v>
      </c>
      <c r="AO319" s="29"/>
    </row>
    <row r="320" spans="2:42" s="25" customFormat="1" x14ac:dyDescent="0.35">
      <c r="B320" s="86">
        <v>404301</v>
      </c>
      <c r="C320" s="118" t="s">
        <v>946</v>
      </c>
      <c r="E320" s="75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85"/>
      <c r="T320" s="85"/>
      <c r="U320" s="85"/>
      <c r="V320" s="85"/>
      <c r="W320" s="85"/>
      <c r="Y320" s="29" t="s">
        <v>19</v>
      </c>
      <c r="Z320" s="29"/>
      <c r="AA320" s="86">
        <v>4043</v>
      </c>
      <c r="AB320" s="29" t="s">
        <v>19</v>
      </c>
      <c r="AE320" s="25" t="s">
        <v>19</v>
      </c>
      <c r="AF320" s="25" t="s">
        <v>491</v>
      </c>
      <c r="AO320" s="75"/>
      <c r="AP320" s="86"/>
    </row>
    <row r="321" spans="2:42" s="25" customFormat="1" x14ac:dyDescent="0.35">
      <c r="B321" s="86">
        <v>404302</v>
      </c>
      <c r="C321" s="118" t="s">
        <v>947</v>
      </c>
      <c r="E321" s="75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85"/>
      <c r="T321" s="85"/>
      <c r="U321" s="85"/>
      <c r="V321" s="85"/>
      <c r="W321" s="85"/>
      <c r="Y321" s="29" t="s">
        <v>19</v>
      </c>
      <c r="Z321" s="29"/>
      <c r="AA321" s="86">
        <v>4043</v>
      </c>
      <c r="AB321" s="29" t="s">
        <v>19</v>
      </c>
      <c r="AE321" s="25" t="s">
        <v>19</v>
      </c>
      <c r="AF321" s="25" t="s">
        <v>491</v>
      </c>
      <c r="AO321" s="75"/>
      <c r="AP321" s="86"/>
    </row>
    <row r="322" spans="2:42" s="25" customFormat="1" x14ac:dyDescent="0.35">
      <c r="B322" s="86">
        <v>404303</v>
      </c>
      <c r="C322" s="118" t="s">
        <v>948</v>
      </c>
      <c r="E322" s="75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85"/>
      <c r="T322" s="85"/>
      <c r="U322" s="85"/>
      <c r="V322" s="85"/>
      <c r="W322" s="85"/>
      <c r="Y322" s="29" t="s">
        <v>19</v>
      </c>
      <c r="Z322" s="29"/>
      <c r="AA322" s="86">
        <v>4043</v>
      </c>
      <c r="AB322" s="29" t="s">
        <v>19</v>
      </c>
      <c r="AE322" s="25" t="s">
        <v>19</v>
      </c>
      <c r="AF322" s="25" t="s">
        <v>19</v>
      </c>
      <c r="AO322" s="75"/>
      <c r="AP322" s="86"/>
    </row>
    <row r="323" spans="2:42" s="25" customFormat="1" x14ac:dyDescent="0.35">
      <c r="B323" s="86">
        <v>404304</v>
      </c>
      <c r="C323" s="118" t="s">
        <v>949</v>
      </c>
      <c r="E323" s="75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85"/>
      <c r="T323" s="85"/>
      <c r="U323" s="85"/>
      <c r="V323" s="85"/>
      <c r="W323" s="85"/>
      <c r="Y323" s="29" t="s">
        <v>19</v>
      </c>
      <c r="Z323" s="29"/>
      <c r="AA323" s="86">
        <v>4043</v>
      </c>
      <c r="AB323" s="29" t="s">
        <v>19</v>
      </c>
      <c r="AE323" s="25" t="s">
        <v>19</v>
      </c>
      <c r="AF323" s="25" t="s">
        <v>19</v>
      </c>
      <c r="AO323" s="75"/>
      <c r="AP323" s="86"/>
    </row>
    <row r="324" spans="2:42" s="25" customFormat="1" x14ac:dyDescent="0.35">
      <c r="B324" s="86">
        <v>404305</v>
      </c>
      <c r="C324" s="118" t="s">
        <v>950</v>
      </c>
      <c r="E324" s="75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85"/>
      <c r="T324" s="85"/>
      <c r="U324" s="85"/>
      <c r="V324" s="85"/>
      <c r="W324" s="85"/>
      <c r="Y324" s="29" t="s">
        <v>35</v>
      </c>
      <c r="Z324" s="29"/>
      <c r="AA324" s="86">
        <v>4043</v>
      </c>
      <c r="AB324" s="29" t="s">
        <v>19</v>
      </c>
      <c r="AE324" s="25" t="s">
        <v>19</v>
      </c>
      <c r="AF324" s="25" t="s">
        <v>491</v>
      </c>
      <c r="AO324" s="75"/>
      <c r="AP324" s="86"/>
    </row>
    <row r="325" spans="2:42" s="25" customFormat="1" x14ac:dyDescent="0.35">
      <c r="B325" s="86">
        <v>404306</v>
      </c>
      <c r="C325" s="118" t="s">
        <v>951</v>
      </c>
      <c r="E325" s="75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85"/>
      <c r="T325" s="85"/>
      <c r="U325" s="85"/>
      <c r="V325" s="85"/>
      <c r="W325" s="85"/>
      <c r="Y325" s="29" t="s">
        <v>35</v>
      </c>
      <c r="Z325" s="29"/>
      <c r="AA325" s="86">
        <v>4043</v>
      </c>
      <c r="AB325" s="29" t="s">
        <v>19</v>
      </c>
      <c r="AE325" s="25" t="s">
        <v>19</v>
      </c>
      <c r="AF325" s="25" t="s">
        <v>69</v>
      </c>
      <c r="AO325" s="75"/>
      <c r="AP325" s="86"/>
    </row>
    <row r="326" spans="2:42" x14ac:dyDescent="0.35">
      <c r="B326" s="45">
        <v>404307</v>
      </c>
      <c r="C326" s="119" t="s">
        <v>949</v>
      </c>
      <c r="F326" s="77"/>
      <c r="Y326" s="29" t="s">
        <v>19</v>
      </c>
      <c r="AA326" s="45">
        <v>4043</v>
      </c>
      <c r="AB326" s="29" t="s">
        <v>19</v>
      </c>
      <c r="AE326" s="29" t="s">
        <v>19</v>
      </c>
      <c r="AF326" s="29" t="s">
        <v>19</v>
      </c>
    </row>
    <row r="327" spans="2:42" x14ac:dyDescent="0.35">
      <c r="B327" s="45">
        <v>404308</v>
      </c>
      <c r="C327" s="119" t="s">
        <v>950</v>
      </c>
      <c r="F327" s="77"/>
      <c r="Y327" s="29" t="s">
        <v>35</v>
      </c>
      <c r="AA327" s="45">
        <v>4043</v>
      </c>
      <c r="AB327" s="29" t="s">
        <v>19</v>
      </c>
      <c r="AE327" s="29" t="s">
        <v>19</v>
      </c>
      <c r="AF327" s="29" t="s">
        <v>491</v>
      </c>
    </row>
    <row r="328" spans="2:42" x14ac:dyDescent="0.35">
      <c r="B328" s="45">
        <v>404309</v>
      </c>
      <c r="C328" s="119" t="s">
        <v>951</v>
      </c>
      <c r="F328" s="77"/>
      <c r="Y328" s="29" t="s">
        <v>35</v>
      </c>
      <c r="AA328" s="45">
        <v>4043</v>
      </c>
      <c r="AB328" s="29" t="s">
        <v>19</v>
      </c>
      <c r="AE328" s="29" t="s">
        <v>19</v>
      </c>
      <c r="AF328" s="29" t="s">
        <v>69</v>
      </c>
    </row>
    <row r="329" spans="2:42" x14ac:dyDescent="0.35">
      <c r="B329" s="45">
        <v>2011001</v>
      </c>
      <c r="C329" s="29" t="s">
        <v>952</v>
      </c>
      <c r="X329" s="29" t="s">
        <v>192</v>
      </c>
      <c r="Y329" s="29" t="s">
        <v>19</v>
      </c>
      <c r="AA329" s="45">
        <v>2011001</v>
      </c>
      <c r="AB329" s="29" t="s">
        <v>187</v>
      </c>
      <c r="AD329" s="29" t="s">
        <v>19</v>
      </c>
      <c r="AE329" s="29" t="s">
        <v>19</v>
      </c>
      <c r="AF329" s="29" t="s">
        <v>35</v>
      </c>
    </row>
    <row r="330" spans="2:42" x14ac:dyDescent="0.35">
      <c r="B330" s="45">
        <v>2011002</v>
      </c>
      <c r="C330" s="29" t="s">
        <v>953</v>
      </c>
      <c r="X330" s="29" t="s">
        <v>192</v>
      </c>
      <c r="Y330" s="29" t="s">
        <v>19</v>
      </c>
      <c r="AA330" s="45">
        <v>2011001</v>
      </c>
      <c r="AB330" s="29" t="s">
        <v>187</v>
      </c>
    </row>
    <row r="331" spans="2:42" x14ac:dyDescent="0.35">
      <c r="B331" s="45">
        <v>2011003</v>
      </c>
      <c r="C331" s="29" t="s">
        <v>954</v>
      </c>
      <c r="X331" s="29" t="s">
        <v>192</v>
      </c>
      <c r="Y331" s="29" t="s">
        <v>19</v>
      </c>
      <c r="AA331" s="45">
        <v>2011001</v>
      </c>
      <c r="AB331" s="29" t="s">
        <v>187</v>
      </c>
    </row>
    <row r="332" spans="2:42" x14ac:dyDescent="0.35">
      <c r="B332" s="45">
        <v>2011004</v>
      </c>
      <c r="C332" s="29" t="s">
        <v>955</v>
      </c>
      <c r="X332" s="29" t="s">
        <v>192</v>
      </c>
      <c r="Y332" s="29" t="s">
        <v>19</v>
      </c>
      <c r="AA332" s="45">
        <v>2011001</v>
      </c>
      <c r="AB332" s="29" t="s">
        <v>187</v>
      </c>
    </row>
    <row r="333" spans="2:42" x14ac:dyDescent="0.35">
      <c r="B333" s="45">
        <v>2011005</v>
      </c>
      <c r="C333" s="29" t="s">
        <v>956</v>
      </c>
      <c r="X333" s="29" t="s">
        <v>192</v>
      </c>
      <c r="Y333" s="29" t="s">
        <v>19</v>
      </c>
      <c r="AA333" s="45">
        <v>2011001</v>
      </c>
      <c r="AB333" s="29" t="s">
        <v>187</v>
      </c>
    </row>
    <row r="334" spans="2:42" x14ac:dyDescent="0.35">
      <c r="B334" s="45">
        <v>2011006</v>
      </c>
      <c r="C334" s="29" t="s">
        <v>957</v>
      </c>
      <c r="X334" s="29" t="s">
        <v>192</v>
      </c>
      <c r="Y334" s="29" t="s">
        <v>19</v>
      </c>
      <c r="AA334" s="45">
        <v>2011001</v>
      </c>
      <c r="AB334" s="29" t="s">
        <v>187</v>
      </c>
    </row>
    <row r="335" spans="2:42" x14ac:dyDescent="0.35">
      <c r="B335" s="45">
        <v>2011010</v>
      </c>
      <c r="C335" s="29" t="s">
        <v>958</v>
      </c>
      <c r="X335" s="29" t="s">
        <v>192</v>
      </c>
      <c r="Y335" s="29" t="s">
        <v>19</v>
      </c>
      <c r="AA335" s="45">
        <v>2011001</v>
      </c>
      <c r="AB335" s="29" t="s">
        <v>187</v>
      </c>
    </row>
    <row r="336" spans="2:42" x14ac:dyDescent="0.35">
      <c r="B336" s="45">
        <v>2011011</v>
      </c>
      <c r="C336" s="29" t="s">
        <v>959</v>
      </c>
      <c r="X336" s="29" t="s">
        <v>192</v>
      </c>
      <c r="Y336" s="29" t="s">
        <v>19</v>
      </c>
      <c r="AA336" s="45">
        <v>2011001</v>
      </c>
      <c r="AB336" s="29" t="s">
        <v>187</v>
      </c>
      <c r="AE336" s="29" t="s">
        <v>19</v>
      </c>
      <c r="AF336" s="29" t="s">
        <v>35</v>
      </c>
    </row>
    <row r="337" spans="2:32" x14ac:dyDescent="0.35">
      <c r="B337" s="45">
        <v>2011012</v>
      </c>
      <c r="C337" s="29" t="s">
        <v>960</v>
      </c>
      <c r="X337" s="29" t="s">
        <v>192</v>
      </c>
      <c r="Y337" s="29" t="s">
        <v>19</v>
      </c>
      <c r="AA337" s="45">
        <v>2011001</v>
      </c>
      <c r="AB337" s="29" t="s">
        <v>187</v>
      </c>
      <c r="AE337" s="29" t="s">
        <v>19</v>
      </c>
      <c r="AF337" s="29" t="s">
        <v>378</v>
      </c>
    </row>
    <row r="338" spans="2:32" x14ac:dyDescent="0.35">
      <c r="B338" s="45">
        <v>201100101</v>
      </c>
      <c r="C338" s="29" t="s">
        <v>961</v>
      </c>
      <c r="X338" s="29" t="s">
        <v>192</v>
      </c>
      <c r="Y338" s="29" t="s">
        <v>19</v>
      </c>
      <c r="AA338" s="45">
        <v>2011001</v>
      </c>
      <c r="AB338" s="29" t="s">
        <v>187</v>
      </c>
    </row>
    <row r="339" spans="2:32" x14ac:dyDescent="0.35">
      <c r="B339" s="45">
        <v>201100102</v>
      </c>
      <c r="C339" s="29" t="s">
        <v>962</v>
      </c>
      <c r="X339" s="29" t="s">
        <v>192</v>
      </c>
      <c r="Y339" s="29" t="s">
        <v>19</v>
      </c>
      <c r="AA339" s="45">
        <v>2011001</v>
      </c>
      <c r="AB339" s="29" t="s">
        <v>187</v>
      </c>
    </row>
    <row r="340" spans="2:32" x14ac:dyDescent="0.35">
      <c r="B340" s="45">
        <v>201100103</v>
      </c>
      <c r="C340" s="29" t="s">
        <v>963</v>
      </c>
      <c r="X340" s="29" t="s">
        <v>192</v>
      </c>
      <c r="Y340" s="29" t="s">
        <v>19</v>
      </c>
      <c r="AA340" s="45">
        <v>2011001</v>
      </c>
      <c r="AB340" s="29" t="s">
        <v>187</v>
      </c>
    </row>
    <row r="341" spans="2:32" ht="16.5" x14ac:dyDescent="0.2">
      <c r="B341" s="45">
        <v>5008501</v>
      </c>
      <c r="C341" s="29" t="s">
        <v>964</v>
      </c>
      <c r="F341" s="29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29"/>
      <c r="T341" s="29"/>
      <c r="U341" s="29"/>
      <c r="V341" s="29"/>
      <c r="W341" s="29"/>
      <c r="X341" s="29" t="s">
        <v>965</v>
      </c>
      <c r="Y341" s="29" t="s">
        <v>19</v>
      </c>
      <c r="AA341" s="45">
        <v>50085</v>
      </c>
      <c r="AB341" s="29" t="s">
        <v>187</v>
      </c>
    </row>
    <row r="342" spans="2:32" ht="16.5" x14ac:dyDescent="0.2">
      <c r="B342" s="45">
        <v>50085</v>
      </c>
      <c r="C342" s="29" t="s">
        <v>964</v>
      </c>
      <c r="F342" s="29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29"/>
      <c r="T342" s="29"/>
      <c r="U342" s="29"/>
      <c r="V342" s="29"/>
      <c r="W342" s="29"/>
      <c r="X342" s="29" t="s">
        <v>965</v>
      </c>
      <c r="Y342" s="29" t="s">
        <v>19</v>
      </c>
      <c r="AA342" s="45">
        <v>50085</v>
      </c>
      <c r="AB342" s="29" t="s">
        <v>187</v>
      </c>
    </row>
    <row r="343" spans="2:32" ht="16.5" x14ac:dyDescent="0.2">
      <c r="B343" s="45">
        <v>312001</v>
      </c>
      <c r="C343" s="29" t="s">
        <v>966</v>
      </c>
      <c r="F343" s="29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29"/>
      <c r="T343" s="29"/>
      <c r="U343" s="29"/>
      <c r="V343" s="29"/>
      <c r="W343" s="29"/>
      <c r="Y343" s="29">
        <v>3</v>
      </c>
      <c r="AA343" s="45">
        <v>312000</v>
      </c>
      <c r="AB343" s="29" t="s">
        <v>19</v>
      </c>
    </row>
    <row r="344" spans="2:32" ht="16.5" x14ac:dyDescent="0.2">
      <c r="B344" s="45">
        <v>312002</v>
      </c>
      <c r="C344" s="29" t="s">
        <v>967</v>
      </c>
      <c r="F344" s="29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29"/>
      <c r="T344" s="29"/>
      <c r="U344" s="29"/>
      <c r="V344" s="29"/>
      <c r="W344" s="29"/>
      <c r="Y344" s="29">
        <v>3</v>
      </c>
      <c r="AA344" s="45">
        <v>312000</v>
      </c>
      <c r="AB344" s="29" t="s">
        <v>187</v>
      </c>
    </row>
    <row r="345" spans="2:32" ht="16.5" x14ac:dyDescent="0.2">
      <c r="B345" s="45">
        <v>312003</v>
      </c>
      <c r="C345" s="29" t="s">
        <v>968</v>
      </c>
      <c r="F345" s="29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29"/>
      <c r="T345" s="29"/>
      <c r="U345" s="29"/>
      <c r="V345" s="29"/>
      <c r="W345" s="29"/>
      <c r="Y345" s="29">
        <v>3</v>
      </c>
      <c r="AA345" s="45">
        <v>312000</v>
      </c>
      <c r="AB345" s="29" t="s">
        <v>187</v>
      </c>
    </row>
    <row r="346" spans="2:32" ht="16.5" x14ac:dyDescent="0.2">
      <c r="B346" s="45">
        <v>312301</v>
      </c>
      <c r="C346" s="29" t="s">
        <v>969</v>
      </c>
      <c r="F346" s="77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7"/>
      <c r="T346" s="77"/>
      <c r="U346" s="77"/>
      <c r="V346" s="77"/>
      <c r="W346" s="77"/>
      <c r="Y346" s="29" t="s">
        <v>19</v>
      </c>
      <c r="AA346" s="45">
        <v>312300</v>
      </c>
      <c r="AB346" s="29" t="s">
        <v>187</v>
      </c>
      <c r="AE346" s="29" t="s">
        <v>19</v>
      </c>
      <c r="AF346" s="29" t="s">
        <v>35</v>
      </c>
    </row>
    <row r="347" spans="2:32" ht="16.5" x14ac:dyDescent="0.2">
      <c r="B347" s="45">
        <v>312201</v>
      </c>
      <c r="C347" s="29" t="s">
        <v>970</v>
      </c>
      <c r="F347" s="29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29"/>
      <c r="T347" s="29"/>
      <c r="U347" s="29"/>
      <c r="V347" s="29"/>
      <c r="W347" s="29"/>
      <c r="Y347" s="29">
        <v>3</v>
      </c>
      <c r="AA347" s="45">
        <v>312200</v>
      </c>
      <c r="AB347" s="29" t="s">
        <v>19</v>
      </c>
      <c r="AD347" s="29" t="s">
        <v>220</v>
      </c>
      <c r="AE347" s="29" t="s">
        <v>19</v>
      </c>
      <c r="AF347" s="29" t="s">
        <v>971</v>
      </c>
    </row>
    <row r="348" spans="2:32" ht="16.5" x14ac:dyDescent="0.2">
      <c r="B348" s="45" t="s">
        <v>972</v>
      </c>
      <c r="C348" s="29" t="s">
        <v>973</v>
      </c>
      <c r="F348" s="29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29"/>
      <c r="T348" s="29"/>
      <c r="U348" s="29"/>
      <c r="V348" s="29"/>
      <c r="W348" s="29"/>
      <c r="Y348" s="29" t="s">
        <v>19</v>
      </c>
      <c r="AA348" s="45">
        <v>310000</v>
      </c>
      <c r="AB348" s="29" t="s">
        <v>187</v>
      </c>
      <c r="AE348" s="29">
        <v>1</v>
      </c>
      <c r="AF348" s="29">
        <v>3</v>
      </c>
    </row>
    <row r="349" spans="2:32" ht="16.5" x14ac:dyDescent="0.2">
      <c r="B349" s="45" t="s">
        <v>974</v>
      </c>
      <c r="C349" s="29" t="s">
        <v>975</v>
      </c>
      <c r="F349" s="29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29"/>
      <c r="T349" s="29"/>
      <c r="U349" s="29"/>
      <c r="V349" s="29"/>
      <c r="W349" s="29"/>
      <c r="Y349" s="29" t="s">
        <v>35</v>
      </c>
      <c r="AA349" s="45">
        <v>310000</v>
      </c>
      <c r="AB349" s="29" t="s">
        <v>187</v>
      </c>
      <c r="AD349" s="29" t="s">
        <v>976</v>
      </c>
    </row>
    <row r="350" spans="2:32" ht="16.5" x14ac:dyDescent="0.2">
      <c r="B350" s="45" t="s">
        <v>977</v>
      </c>
      <c r="C350" s="29" t="s">
        <v>978</v>
      </c>
      <c r="F350" s="29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29"/>
      <c r="T350" s="29"/>
      <c r="U350" s="29"/>
      <c r="V350" s="29"/>
      <c r="W350" s="29"/>
      <c r="Y350" s="29" t="s">
        <v>35</v>
      </c>
      <c r="AA350" s="45">
        <v>310100</v>
      </c>
      <c r="AB350" s="29" t="s">
        <v>187</v>
      </c>
      <c r="AD350" s="29" t="s">
        <v>35</v>
      </c>
      <c r="AE350" s="29" t="s">
        <v>19</v>
      </c>
      <c r="AF350" s="29" t="s">
        <v>225</v>
      </c>
    </row>
    <row r="351" spans="2:32" ht="16.5" x14ac:dyDescent="0.2">
      <c r="B351" s="45" t="s">
        <v>979</v>
      </c>
      <c r="C351" s="29" t="s">
        <v>980</v>
      </c>
      <c r="F351" s="29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29"/>
      <c r="T351" s="29"/>
      <c r="U351" s="29"/>
      <c r="V351" s="29"/>
      <c r="W351" s="29"/>
      <c r="Y351" s="29" t="s">
        <v>19</v>
      </c>
      <c r="AA351" s="45">
        <v>311000</v>
      </c>
      <c r="AB351" s="29" t="s">
        <v>187</v>
      </c>
      <c r="AE351" s="29">
        <v>0</v>
      </c>
      <c r="AF351" s="29" t="s">
        <v>35</v>
      </c>
    </row>
    <row r="352" spans="2:32" ht="16.5" x14ac:dyDescent="0.2">
      <c r="B352" s="45" t="s">
        <v>981</v>
      </c>
      <c r="C352" s="29" t="s">
        <v>982</v>
      </c>
      <c r="F352" s="29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29"/>
      <c r="T352" s="29"/>
      <c r="U352" s="29"/>
      <c r="V352" s="29"/>
      <c r="W352" s="29"/>
      <c r="Y352" s="29" t="s">
        <v>35</v>
      </c>
      <c r="AA352" s="45">
        <v>310000</v>
      </c>
      <c r="AB352" s="29" t="s">
        <v>187</v>
      </c>
      <c r="AE352" s="29">
        <v>1</v>
      </c>
      <c r="AF352" s="29" t="s">
        <v>983</v>
      </c>
    </row>
    <row r="353" spans="2:32" ht="16.5" x14ac:dyDescent="0.2">
      <c r="B353" s="45" t="s">
        <v>984</v>
      </c>
      <c r="C353" s="29" t="s">
        <v>985</v>
      </c>
      <c r="F353" s="29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29"/>
      <c r="T353" s="29"/>
      <c r="U353" s="29"/>
      <c r="V353" s="29"/>
      <c r="W353" s="29"/>
      <c r="Y353" s="29" t="s">
        <v>35</v>
      </c>
      <c r="AA353" s="45">
        <v>310000</v>
      </c>
      <c r="AB353" s="29" t="s">
        <v>187</v>
      </c>
      <c r="AE353" s="29">
        <v>1</v>
      </c>
      <c r="AF353" s="29" t="s">
        <v>971</v>
      </c>
    </row>
    <row r="354" spans="2:32" ht="16.5" x14ac:dyDescent="0.2">
      <c r="B354" s="45" t="s">
        <v>986</v>
      </c>
      <c r="C354" s="29" t="s">
        <v>987</v>
      </c>
      <c r="F354" s="29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29"/>
      <c r="T354" s="29"/>
      <c r="U354" s="29"/>
      <c r="V354" s="29"/>
      <c r="W354" s="29"/>
      <c r="Y354" s="29" t="s">
        <v>19</v>
      </c>
      <c r="AA354" s="45">
        <v>310000</v>
      </c>
      <c r="AB354" s="29" t="s">
        <v>187</v>
      </c>
      <c r="AE354" s="29">
        <v>1</v>
      </c>
      <c r="AF354" s="29" t="s">
        <v>32</v>
      </c>
    </row>
    <row r="355" spans="2:32" ht="16.5" x14ac:dyDescent="0.2">
      <c r="B355" s="45">
        <v>311004</v>
      </c>
      <c r="C355" s="29" t="s">
        <v>988</v>
      </c>
      <c r="D355" s="29" t="s">
        <v>989</v>
      </c>
      <c r="F355" s="29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29"/>
      <c r="T355" s="29"/>
      <c r="U355" s="29"/>
      <c r="V355" s="29"/>
      <c r="W355" s="29"/>
      <c r="Y355" s="29">
        <v>3</v>
      </c>
      <c r="AA355" s="45">
        <v>311000</v>
      </c>
      <c r="AB355" s="29" t="s">
        <v>187</v>
      </c>
      <c r="AE355" s="29">
        <v>1</v>
      </c>
      <c r="AF355" s="29">
        <v>5</v>
      </c>
    </row>
    <row r="356" spans="2:32" ht="16.5" x14ac:dyDescent="0.2">
      <c r="B356" s="45">
        <v>311005</v>
      </c>
      <c r="C356" s="29" t="s">
        <v>988</v>
      </c>
      <c r="D356" s="29" t="s">
        <v>990</v>
      </c>
      <c r="F356" s="29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29"/>
      <c r="T356" s="29"/>
      <c r="U356" s="29"/>
      <c r="V356" s="29"/>
      <c r="W356" s="29"/>
      <c r="Y356" s="29">
        <v>3</v>
      </c>
      <c r="AA356" s="45">
        <v>311000</v>
      </c>
      <c r="AB356" s="29" t="s">
        <v>187</v>
      </c>
    </row>
    <row r="357" spans="2:32" ht="16.5" x14ac:dyDescent="0.2">
      <c r="B357" s="45">
        <v>311006</v>
      </c>
      <c r="C357" s="29" t="s">
        <v>988</v>
      </c>
      <c r="F357" s="29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29"/>
      <c r="T357" s="29"/>
      <c r="U357" s="29"/>
      <c r="V357" s="29"/>
      <c r="W357" s="29"/>
      <c r="Y357" s="29">
        <v>3</v>
      </c>
      <c r="AA357" s="45">
        <v>311000</v>
      </c>
      <c r="AB357" s="29" t="s">
        <v>187</v>
      </c>
      <c r="AD357" s="29" t="s">
        <v>189</v>
      </c>
      <c r="AE357" s="29" t="s">
        <v>187</v>
      </c>
      <c r="AF357" s="29" t="s">
        <v>189</v>
      </c>
    </row>
    <row r="358" spans="2:32" ht="16.5" x14ac:dyDescent="0.2">
      <c r="B358" s="45">
        <v>312202</v>
      </c>
      <c r="C358" s="29" t="s">
        <v>991</v>
      </c>
      <c r="D358" s="29" t="s">
        <v>992</v>
      </c>
      <c r="F358" s="29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29"/>
      <c r="T358" s="29"/>
      <c r="U358" s="29"/>
      <c r="V358" s="29"/>
      <c r="W358" s="29"/>
      <c r="Y358" s="29">
        <v>3</v>
      </c>
      <c r="AA358" s="45">
        <v>312200</v>
      </c>
      <c r="AB358" s="29" t="s">
        <v>19</v>
      </c>
      <c r="AD358" s="29" t="s">
        <v>220</v>
      </c>
      <c r="AE358" s="29" t="s">
        <v>19</v>
      </c>
      <c r="AF358" s="29" t="s">
        <v>341</v>
      </c>
    </row>
    <row r="359" spans="2:32" ht="16.5" x14ac:dyDescent="0.2">
      <c r="B359" s="45">
        <v>312203</v>
      </c>
      <c r="C359" s="29" t="s">
        <v>993</v>
      </c>
      <c r="D359" s="29" t="s">
        <v>994</v>
      </c>
      <c r="F359" s="29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29"/>
      <c r="T359" s="29"/>
      <c r="U359" s="29"/>
      <c r="V359" s="29"/>
      <c r="W359" s="29"/>
      <c r="Y359" s="29" t="s">
        <v>32</v>
      </c>
      <c r="AA359" s="45">
        <v>312200</v>
      </c>
      <c r="AB359" s="29" t="s">
        <v>19</v>
      </c>
      <c r="AD359" s="29" t="s">
        <v>69</v>
      </c>
      <c r="AE359" s="29" t="s">
        <v>19</v>
      </c>
      <c r="AF359" s="29" t="s">
        <v>610</v>
      </c>
    </row>
    <row r="360" spans="2:32" ht="16.5" x14ac:dyDescent="0.2">
      <c r="B360" s="45">
        <v>312204</v>
      </c>
      <c r="C360" s="29" t="s">
        <v>991</v>
      </c>
      <c r="D360" s="29" t="s">
        <v>995</v>
      </c>
      <c r="F360" s="29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29"/>
      <c r="T360" s="29"/>
      <c r="U360" s="29"/>
      <c r="V360" s="29"/>
      <c r="W360" s="29"/>
      <c r="Y360" s="29" t="s">
        <v>32</v>
      </c>
      <c r="AA360" s="45">
        <v>312200</v>
      </c>
      <c r="AB360" s="29" t="s">
        <v>19</v>
      </c>
      <c r="AD360" s="29" t="s">
        <v>996</v>
      </c>
      <c r="AE360" s="29" t="s">
        <v>19</v>
      </c>
      <c r="AF360" s="29" t="s">
        <v>809</v>
      </c>
    </row>
    <row r="361" spans="2:32" ht="16.5" x14ac:dyDescent="0.2">
      <c r="B361" s="45">
        <v>312205</v>
      </c>
      <c r="C361" s="29" t="s">
        <v>991</v>
      </c>
      <c r="D361" s="29" t="s">
        <v>997</v>
      </c>
      <c r="F361" s="29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29"/>
      <c r="T361" s="29"/>
      <c r="U361" s="29"/>
      <c r="V361" s="29"/>
      <c r="W361" s="29"/>
      <c r="Y361" s="29" t="s">
        <v>32</v>
      </c>
      <c r="AA361" s="45">
        <v>312200</v>
      </c>
      <c r="AB361" s="29" t="s">
        <v>19</v>
      </c>
      <c r="AD361" s="29" t="s">
        <v>341</v>
      </c>
      <c r="AE361" s="29" t="s">
        <v>19</v>
      </c>
      <c r="AF361" s="29" t="s">
        <v>809</v>
      </c>
    </row>
    <row r="362" spans="2:32" ht="16.5" x14ac:dyDescent="0.2">
      <c r="B362" s="45">
        <v>312206</v>
      </c>
      <c r="C362" s="29" t="s">
        <v>991</v>
      </c>
      <c r="D362" s="29" t="s">
        <v>998</v>
      </c>
      <c r="F362" s="29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29"/>
      <c r="T362" s="29"/>
      <c r="U362" s="29"/>
      <c r="V362" s="29"/>
      <c r="W362" s="29"/>
      <c r="Y362" s="29" t="s">
        <v>32</v>
      </c>
      <c r="AA362" s="45">
        <v>312200</v>
      </c>
      <c r="AB362" s="29" t="s">
        <v>19</v>
      </c>
      <c r="AD362" s="29" t="s">
        <v>491</v>
      </c>
      <c r="AE362" s="29" t="s">
        <v>19</v>
      </c>
      <c r="AF362" s="29" t="s">
        <v>809</v>
      </c>
    </row>
    <row r="363" spans="2:32" ht="16.5" x14ac:dyDescent="0.2">
      <c r="B363" s="45">
        <v>312207</v>
      </c>
      <c r="C363" s="29" t="s">
        <v>970</v>
      </c>
      <c r="D363" s="29" t="s">
        <v>999</v>
      </c>
      <c r="F363" s="29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29"/>
      <c r="T363" s="29"/>
      <c r="U363" s="29"/>
      <c r="V363" s="29"/>
      <c r="W363" s="29"/>
      <c r="Y363" s="29">
        <v>3</v>
      </c>
      <c r="AA363" s="45">
        <v>312200</v>
      </c>
      <c r="AB363" s="29" t="s">
        <v>19</v>
      </c>
      <c r="AD363" s="29" t="s">
        <v>220</v>
      </c>
      <c r="AE363" s="29" t="s">
        <v>19</v>
      </c>
      <c r="AF363" s="29" t="s">
        <v>971</v>
      </c>
    </row>
    <row r="364" spans="2:32" ht="16.5" x14ac:dyDescent="0.2">
      <c r="B364" s="45">
        <v>311101</v>
      </c>
      <c r="C364" s="29" t="s">
        <v>1000</v>
      </c>
      <c r="F364" s="29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29"/>
      <c r="T364" s="29"/>
      <c r="U364" s="29"/>
      <c r="V364" s="29"/>
      <c r="W364" s="29"/>
      <c r="Y364" s="29" t="s">
        <v>32</v>
      </c>
      <c r="AA364" s="45">
        <v>311100</v>
      </c>
      <c r="AB364" s="29" t="s">
        <v>19</v>
      </c>
    </row>
    <row r="365" spans="2:32" x14ac:dyDescent="0.35">
      <c r="B365" s="45">
        <v>311102</v>
      </c>
      <c r="C365" s="29" t="s">
        <v>1001</v>
      </c>
      <c r="Y365" s="29" t="s">
        <v>19</v>
      </c>
      <c r="AA365" s="45">
        <v>311100</v>
      </c>
      <c r="AB365" s="29" t="s">
        <v>187</v>
      </c>
      <c r="AE365" s="29" t="s">
        <v>19</v>
      </c>
      <c r="AF365" s="29" t="s">
        <v>32</v>
      </c>
    </row>
    <row r="366" spans="2:32" x14ac:dyDescent="0.35">
      <c r="B366" s="45">
        <v>311103</v>
      </c>
      <c r="C366" s="29" t="s">
        <v>1002</v>
      </c>
      <c r="Y366" s="29" t="s">
        <v>32</v>
      </c>
      <c r="AA366" s="45">
        <v>311100</v>
      </c>
      <c r="AB366" s="29" t="s">
        <v>19</v>
      </c>
      <c r="AD366" s="29" t="s">
        <v>189</v>
      </c>
      <c r="AE366" s="29" t="s">
        <v>19</v>
      </c>
      <c r="AF366" s="29" t="s">
        <v>341</v>
      </c>
    </row>
    <row r="367" spans="2:32" x14ac:dyDescent="0.35">
      <c r="B367" s="45">
        <v>311104</v>
      </c>
      <c r="C367" s="29" t="s">
        <v>1003</v>
      </c>
      <c r="Y367" s="29" t="s">
        <v>32</v>
      </c>
      <c r="AA367" s="45">
        <v>311100</v>
      </c>
      <c r="AB367" s="29" t="s">
        <v>19</v>
      </c>
      <c r="AD367" s="29" t="s">
        <v>189</v>
      </c>
      <c r="AE367" s="29" t="s">
        <v>187</v>
      </c>
      <c r="AF367" s="29" t="s">
        <v>225</v>
      </c>
    </row>
    <row r="368" spans="2:32" x14ac:dyDescent="0.35">
      <c r="B368" s="45">
        <v>311105</v>
      </c>
      <c r="C368" s="29" t="s">
        <v>1004</v>
      </c>
      <c r="Y368" s="29" t="s">
        <v>35</v>
      </c>
      <c r="AA368" s="45">
        <v>311100</v>
      </c>
      <c r="AB368" s="29" t="s">
        <v>19</v>
      </c>
      <c r="AD368" s="29" t="s">
        <v>69</v>
      </c>
      <c r="AE368" s="29" t="s">
        <v>19</v>
      </c>
      <c r="AF368" s="29" t="s">
        <v>225</v>
      </c>
    </row>
    <row r="369" spans="1:48" x14ac:dyDescent="0.35">
      <c r="B369" s="45">
        <v>311106</v>
      </c>
      <c r="C369" s="29" t="s">
        <v>1005</v>
      </c>
      <c r="Y369" s="29" t="s">
        <v>32</v>
      </c>
      <c r="AA369" s="45">
        <v>311100</v>
      </c>
      <c r="AB369" s="29" t="s">
        <v>19</v>
      </c>
      <c r="AD369" s="29" t="s">
        <v>189</v>
      </c>
      <c r="AE369" s="29" t="s">
        <v>19</v>
      </c>
      <c r="AF369" s="29" t="s">
        <v>209</v>
      </c>
    </row>
    <row r="370" spans="1:48" x14ac:dyDescent="0.35">
      <c r="B370" s="45">
        <v>311107</v>
      </c>
      <c r="C370" s="29" t="s">
        <v>1006</v>
      </c>
      <c r="Y370" s="29" t="s">
        <v>35</v>
      </c>
      <c r="AA370" s="45">
        <v>311100</v>
      </c>
      <c r="AB370" s="29" t="s">
        <v>19</v>
      </c>
      <c r="AE370" s="29" t="s">
        <v>187</v>
      </c>
      <c r="AF370" s="29" t="s">
        <v>209</v>
      </c>
    </row>
    <row r="371" spans="1:48" x14ac:dyDescent="0.35">
      <c r="B371" s="45">
        <v>311108</v>
      </c>
      <c r="C371" s="29" t="s">
        <v>1007</v>
      </c>
      <c r="Y371" s="29" t="s">
        <v>19</v>
      </c>
      <c r="AA371" s="45">
        <v>311100</v>
      </c>
      <c r="AB371" s="29" t="s">
        <v>187</v>
      </c>
      <c r="AE371" s="29" t="s">
        <v>19</v>
      </c>
      <c r="AF371" s="29" t="s">
        <v>32</v>
      </c>
    </row>
    <row r="372" spans="1:48" x14ac:dyDescent="0.35">
      <c r="A372" s="123"/>
      <c r="B372" s="123">
        <v>314101</v>
      </c>
      <c r="C372" s="123" t="s">
        <v>1008</v>
      </c>
      <c r="D372" s="123"/>
      <c r="E372" s="123"/>
      <c r="F372" s="124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4"/>
      <c r="T372" s="124"/>
      <c r="U372" s="124"/>
      <c r="V372" s="124"/>
      <c r="W372" s="124"/>
      <c r="X372" s="123"/>
      <c r="Y372" s="123">
        <v>1</v>
      </c>
      <c r="AA372" s="123">
        <v>3141</v>
      </c>
      <c r="AB372" s="29" t="s">
        <v>187</v>
      </c>
      <c r="AC372" s="123"/>
      <c r="AD372" s="123">
        <v>2</v>
      </c>
      <c r="AE372" s="123">
        <v>1</v>
      </c>
      <c r="AF372" s="123">
        <v>3</v>
      </c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23"/>
      <c r="AQ372" s="129"/>
      <c r="AR372" s="129"/>
      <c r="AS372" s="129"/>
      <c r="AT372" s="129"/>
      <c r="AU372" s="129"/>
      <c r="AV372" s="129"/>
    </row>
    <row r="373" spans="1:48" x14ac:dyDescent="0.35">
      <c r="A373" s="123"/>
      <c r="B373" s="123">
        <v>314102</v>
      </c>
      <c r="C373" s="123" t="s">
        <v>1009</v>
      </c>
      <c r="D373" s="123"/>
      <c r="E373" s="123"/>
      <c r="F373" s="124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4"/>
      <c r="T373" s="124"/>
      <c r="U373" s="124"/>
      <c r="V373" s="124"/>
      <c r="W373" s="124"/>
      <c r="X373" s="123"/>
      <c r="Y373" s="123">
        <v>3</v>
      </c>
      <c r="AA373" s="123">
        <v>3141</v>
      </c>
      <c r="AB373" s="29" t="s">
        <v>187</v>
      </c>
      <c r="AC373" s="123"/>
      <c r="AD373" s="123"/>
      <c r="AE373" s="123">
        <v>1</v>
      </c>
      <c r="AF373" s="123">
        <v>4</v>
      </c>
      <c r="AG373" s="123"/>
      <c r="AH373" s="123"/>
      <c r="AI373" s="123"/>
      <c r="AJ373" s="123"/>
      <c r="AK373" s="123"/>
      <c r="AL373" s="123"/>
      <c r="AM373" s="123"/>
      <c r="AN373" s="123"/>
      <c r="AO373" s="123"/>
      <c r="AP373" s="123"/>
      <c r="AQ373" s="129"/>
      <c r="AR373" s="129"/>
      <c r="AS373" s="129"/>
      <c r="AT373" s="129"/>
      <c r="AU373" s="129"/>
      <c r="AV373" s="129"/>
    </row>
    <row r="374" spans="1:48" x14ac:dyDescent="0.35">
      <c r="A374" s="123"/>
      <c r="B374" s="123">
        <v>314103</v>
      </c>
      <c r="C374" s="123" t="s">
        <v>1009</v>
      </c>
      <c r="D374" s="123"/>
      <c r="E374" s="123"/>
      <c r="F374" s="124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4"/>
      <c r="T374" s="124"/>
      <c r="U374" s="124"/>
      <c r="V374" s="124"/>
      <c r="W374" s="124"/>
      <c r="X374" s="123"/>
      <c r="Y374" s="123">
        <v>3</v>
      </c>
      <c r="AA374" s="123">
        <v>3141</v>
      </c>
      <c r="AB374" s="29" t="s">
        <v>187</v>
      </c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23"/>
      <c r="AQ374" s="129"/>
      <c r="AR374" s="129"/>
      <c r="AS374" s="129"/>
      <c r="AT374" s="129"/>
      <c r="AU374" s="129"/>
      <c r="AV374" s="129"/>
    </row>
    <row r="375" spans="1:48" x14ac:dyDescent="0.35">
      <c r="A375" s="46"/>
      <c r="B375" s="126">
        <v>314104</v>
      </c>
      <c r="C375" s="46" t="s">
        <v>1010</v>
      </c>
      <c r="D375" s="46"/>
      <c r="F375" s="127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7"/>
      <c r="T375" s="127"/>
      <c r="U375" s="127"/>
      <c r="V375" s="127"/>
      <c r="W375" s="127"/>
      <c r="X375" s="46"/>
      <c r="Y375" s="46">
        <v>3</v>
      </c>
      <c r="AA375" s="126">
        <v>3141</v>
      </c>
      <c r="AB375" s="29" t="s">
        <v>187</v>
      </c>
      <c r="AC375" s="46"/>
      <c r="AD375" s="46"/>
      <c r="AE375" s="46">
        <v>1</v>
      </c>
      <c r="AF375" s="46" t="s">
        <v>876</v>
      </c>
      <c r="AG375" s="46"/>
      <c r="AH375" s="46"/>
      <c r="AI375" s="46"/>
      <c r="AJ375" s="46"/>
      <c r="AK375" s="46"/>
      <c r="AL375" s="46"/>
      <c r="AM375" s="46"/>
      <c r="AN375" s="46"/>
      <c r="AP375" s="126"/>
      <c r="AQ375" s="22"/>
      <c r="AR375" s="22"/>
      <c r="AS375" s="22"/>
      <c r="AT375" s="22"/>
    </row>
    <row r="376" spans="1:48" x14ac:dyDescent="0.35">
      <c r="B376" s="45">
        <v>313001</v>
      </c>
      <c r="C376" s="29" t="s">
        <v>1011</v>
      </c>
      <c r="X376" s="45" t="s">
        <v>965</v>
      </c>
      <c r="Y376" s="29" t="s">
        <v>19</v>
      </c>
      <c r="AA376" s="45">
        <v>313000</v>
      </c>
      <c r="AB376" s="29" t="s">
        <v>187</v>
      </c>
      <c r="AE376" s="29" t="s">
        <v>19</v>
      </c>
      <c r="AF376" s="29" t="s">
        <v>187</v>
      </c>
    </row>
    <row r="377" spans="1:48" x14ac:dyDescent="0.35">
      <c r="B377" s="45">
        <v>313002</v>
      </c>
      <c r="C377" s="29" t="s">
        <v>1012</v>
      </c>
      <c r="X377" s="45" t="s">
        <v>965</v>
      </c>
      <c r="Y377" s="29" t="s">
        <v>32</v>
      </c>
      <c r="AA377" s="45">
        <v>313000</v>
      </c>
      <c r="AB377" s="29" t="s">
        <v>187</v>
      </c>
      <c r="AE377" s="29" t="s">
        <v>19</v>
      </c>
      <c r="AF377" s="29" t="s">
        <v>187</v>
      </c>
    </row>
    <row r="378" spans="1:48" ht="16.5" x14ac:dyDescent="0.2">
      <c r="B378" s="45">
        <v>313003</v>
      </c>
      <c r="C378" s="29" t="s">
        <v>1013</v>
      </c>
      <c r="F378" s="29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29"/>
      <c r="T378" s="29"/>
      <c r="U378" s="29"/>
      <c r="V378" s="29"/>
      <c r="W378" s="29"/>
      <c r="X378" s="45"/>
      <c r="Y378" s="29" t="s">
        <v>32</v>
      </c>
      <c r="AA378" s="45">
        <v>313000</v>
      </c>
      <c r="AB378" s="29" t="s">
        <v>187</v>
      </c>
      <c r="AE378" s="29" t="s">
        <v>19</v>
      </c>
      <c r="AF378" s="29" t="s">
        <v>69</v>
      </c>
    </row>
    <row r="379" spans="1:48" x14ac:dyDescent="0.35">
      <c r="B379" s="45">
        <v>313004</v>
      </c>
      <c r="C379" s="29" t="s">
        <v>1014</v>
      </c>
      <c r="Y379" s="29" t="s">
        <v>19</v>
      </c>
      <c r="AA379" s="45">
        <v>313000</v>
      </c>
      <c r="AB379" s="29" t="s">
        <v>187</v>
      </c>
      <c r="AE379" s="29" t="s">
        <v>19</v>
      </c>
      <c r="AF379" s="29" t="s">
        <v>32</v>
      </c>
    </row>
    <row r="380" spans="1:48" x14ac:dyDescent="0.35">
      <c r="B380" s="45">
        <v>314001</v>
      </c>
      <c r="C380" s="29" t="s">
        <v>1015</v>
      </c>
      <c r="Y380" s="29" t="s">
        <v>35</v>
      </c>
      <c r="AA380" s="45">
        <v>3140</v>
      </c>
      <c r="AB380" s="29" t="s">
        <v>187</v>
      </c>
      <c r="AD380" s="29" t="s">
        <v>431</v>
      </c>
      <c r="AE380" s="29" t="s">
        <v>19</v>
      </c>
      <c r="AF380" s="29" t="s">
        <v>431</v>
      </c>
      <c r="AO380" s="126"/>
      <c r="AP380" s="29"/>
    </row>
    <row r="381" spans="1:48" x14ac:dyDescent="0.35">
      <c r="B381" s="45">
        <v>314002</v>
      </c>
      <c r="C381" s="29" t="s">
        <v>1016</v>
      </c>
      <c r="Y381" s="29" t="s">
        <v>19</v>
      </c>
      <c r="AA381" s="45">
        <v>3140</v>
      </c>
      <c r="AB381" s="29" t="s">
        <v>187</v>
      </c>
      <c r="AE381" s="29" t="s">
        <v>19</v>
      </c>
      <c r="AF381" s="29" t="s">
        <v>35</v>
      </c>
      <c r="AO381" s="126"/>
      <c r="AP381" s="29"/>
    </row>
    <row r="382" spans="1:48" x14ac:dyDescent="0.35">
      <c r="B382" s="45">
        <v>314004</v>
      </c>
      <c r="C382" s="29" t="s">
        <v>1017</v>
      </c>
      <c r="D382" s="29" t="s">
        <v>1018</v>
      </c>
      <c r="Y382" s="29" t="s">
        <v>35</v>
      </c>
      <c r="AA382" s="45">
        <v>3140</v>
      </c>
      <c r="AB382" s="29" t="s">
        <v>187</v>
      </c>
      <c r="AD382" s="29" t="s">
        <v>19</v>
      </c>
      <c r="AE382" s="29" t="s">
        <v>19</v>
      </c>
      <c r="AF382" s="29" t="s">
        <v>19</v>
      </c>
      <c r="AO382" s="126"/>
      <c r="AP382" s="29"/>
    </row>
    <row r="383" spans="1:48" x14ac:dyDescent="0.35">
      <c r="B383" s="45">
        <v>314005</v>
      </c>
      <c r="C383" s="29" t="s">
        <v>1019</v>
      </c>
      <c r="D383" s="29" t="s">
        <v>1018</v>
      </c>
      <c r="Y383" s="29" t="s">
        <v>19</v>
      </c>
      <c r="AA383" s="45">
        <v>3140</v>
      </c>
      <c r="AB383" s="29" t="s">
        <v>187</v>
      </c>
      <c r="AO383" s="126"/>
      <c r="AP383" s="29"/>
    </row>
    <row r="384" spans="1:48" x14ac:dyDescent="0.35">
      <c r="B384" s="45">
        <v>314007</v>
      </c>
      <c r="C384" s="29" t="s">
        <v>1020</v>
      </c>
      <c r="Y384" s="29" t="s">
        <v>35</v>
      </c>
      <c r="AA384" s="45">
        <v>3140</v>
      </c>
      <c r="AB384" s="29" t="s">
        <v>187</v>
      </c>
      <c r="AD384" s="29" t="s">
        <v>431</v>
      </c>
      <c r="AE384" s="29" t="s">
        <v>19</v>
      </c>
      <c r="AF384" s="29" t="s">
        <v>431</v>
      </c>
    </row>
    <row r="385" spans="2:42" x14ac:dyDescent="0.35">
      <c r="B385" s="45">
        <v>314008</v>
      </c>
      <c r="C385" s="29" t="s">
        <v>1021</v>
      </c>
      <c r="Y385" s="29" t="s">
        <v>35</v>
      </c>
      <c r="AA385" s="45">
        <v>3140</v>
      </c>
      <c r="AB385" s="29" t="s">
        <v>187</v>
      </c>
      <c r="AD385" s="29" t="s">
        <v>431</v>
      </c>
      <c r="AE385" s="29" t="s">
        <v>19</v>
      </c>
      <c r="AF385" s="29" t="s">
        <v>431</v>
      </c>
    </row>
    <row r="386" spans="2:42" x14ac:dyDescent="0.35">
      <c r="B386" s="45">
        <v>314009</v>
      </c>
      <c r="C386" s="29" t="s">
        <v>1022</v>
      </c>
      <c r="Y386" s="29" t="s">
        <v>35</v>
      </c>
      <c r="AA386" s="45">
        <v>3140</v>
      </c>
      <c r="AB386" s="29" t="s">
        <v>187</v>
      </c>
      <c r="AD386" s="29" t="s">
        <v>431</v>
      </c>
      <c r="AE386" s="29" t="s">
        <v>19</v>
      </c>
      <c r="AF386" s="29" t="s">
        <v>431</v>
      </c>
    </row>
    <row r="387" spans="2:42" x14ac:dyDescent="0.35">
      <c r="B387" s="45">
        <v>314010</v>
      </c>
      <c r="C387" s="29" t="s">
        <v>1015</v>
      </c>
      <c r="D387" s="29" t="s">
        <v>1023</v>
      </c>
      <c r="Y387" s="29" t="s">
        <v>35</v>
      </c>
      <c r="AA387" s="45">
        <v>3140</v>
      </c>
      <c r="AB387" s="29" t="s">
        <v>187</v>
      </c>
      <c r="AD387" s="29" t="s">
        <v>431</v>
      </c>
      <c r="AE387" s="29" t="s">
        <v>19</v>
      </c>
      <c r="AF387" s="29" t="s">
        <v>431</v>
      </c>
    </row>
    <row r="388" spans="2:42" x14ac:dyDescent="0.35">
      <c r="B388" s="45">
        <v>300402</v>
      </c>
      <c r="C388" s="29" t="s">
        <v>1024</v>
      </c>
      <c r="F388" s="29"/>
      <c r="X388" s="45"/>
      <c r="Y388" s="29" t="s">
        <v>19</v>
      </c>
      <c r="AA388" s="45">
        <v>3004</v>
      </c>
      <c r="AB388" s="29" t="s">
        <v>187</v>
      </c>
    </row>
    <row r="389" spans="2:42" x14ac:dyDescent="0.35">
      <c r="B389" s="45">
        <v>300403</v>
      </c>
      <c r="C389" s="29" t="s">
        <v>1025</v>
      </c>
      <c r="Y389" s="29" t="s">
        <v>35</v>
      </c>
      <c r="AA389" s="45">
        <v>3004</v>
      </c>
      <c r="AB389" s="29" t="s">
        <v>187</v>
      </c>
      <c r="AE389" s="29" t="s">
        <v>19</v>
      </c>
      <c r="AF389" s="29" t="s">
        <v>189</v>
      </c>
    </row>
    <row r="390" spans="2:42" x14ac:dyDescent="0.35">
      <c r="B390" s="45">
        <v>300404</v>
      </c>
      <c r="C390" s="29" t="s">
        <v>1026</v>
      </c>
      <c r="F390" s="29"/>
      <c r="X390" s="45"/>
      <c r="Y390" s="29" t="s">
        <v>19</v>
      </c>
      <c r="AA390" s="45">
        <v>3004</v>
      </c>
      <c r="AB390" s="29" t="s">
        <v>187</v>
      </c>
    </row>
    <row r="391" spans="2:42" x14ac:dyDescent="0.35">
      <c r="B391" s="45">
        <v>300405</v>
      </c>
      <c r="C391" s="29" t="s">
        <v>1027</v>
      </c>
      <c r="Y391" s="29" t="s">
        <v>35</v>
      </c>
      <c r="AA391" s="45">
        <v>3004</v>
      </c>
      <c r="AB391" s="29" t="s">
        <v>187</v>
      </c>
      <c r="AE391" s="29" t="s">
        <v>19</v>
      </c>
      <c r="AF391" s="29" t="s">
        <v>976</v>
      </c>
    </row>
    <row r="392" spans="2:42" s="25" customFormat="1" x14ac:dyDescent="0.35">
      <c r="B392" s="86">
        <v>300406</v>
      </c>
      <c r="C392" s="25" t="s">
        <v>1028</v>
      </c>
      <c r="E392" s="75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85"/>
      <c r="T392" s="85"/>
      <c r="U392" s="85"/>
      <c r="V392" s="85"/>
      <c r="W392" s="85"/>
      <c r="Y392" s="29" t="s">
        <v>19</v>
      </c>
      <c r="Z392" s="29"/>
      <c r="AA392" s="86">
        <v>3004</v>
      </c>
      <c r="AB392" s="29" t="s">
        <v>187</v>
      </c>
      <c r="AE392" s="25" t="s">
        <v>19</v>
      </c>
      <c r="AF392" s="25" t="s">
        <v>976</v>
      </c>
      <c r="AO392" s="75"/>
      <c r="AP392" s="86"/>
    </row>
    <row r="393" spans="2:42" s="135" customFormat="1" x14ac:dyDescent="0.35">
      <c r="B393" s="136">
        <v>313005</v>
      </c>
      <c r="C393" s="135" t="s">
        <v>1029</v>
      </c>
      <c r="E393" s="137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9"/>
      <c r="T393" s="139"/>
      <c r="U393" s="139"/>
      <c r="V393" s="139"/>
      <c r="W393" s="139"/>
      <c r="X393" s="136">
        <v>2004</v>
      </c>
      <c r="Y393" s="135" t="s">
        <v>32</v>
      </c>
      <c r="AA393" s="136">
        <v>3130</v>
      </c>
      <c r="AB393" s="135" t="s">
        <v>187</v>
      </c>
      <c r="AF393" s="135" t="s">
        <v>19</v>
      </c>
      <c r="AO393" s="137"/>
      <c r="AP393" s="136"/>
    </row>
    <row r="394" spans="2:42" s="135" customFormat="1" x14ac:dyDescent="0.35">
      <c r="B394" s="136">
        <v>313006</v>
      </c>
      <c r="C394" s="135" t="s">
        <v>1030</v>
      </c>
      <c r="E394" s="137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9"/>
      <c r="T394" s="139"/>
      <c r="U394" s="139"/>
      <c r="V394" s="139"/>
      <c r="W394" s="139"/>
      <c r="X394" s="136">
        <v>2018</v>
      </c>
      <c r="Y394" s="135" t="s">
        <v>35</v>
      </c>
      <c r="AA394" s="136">
        <v>3130</v>
      </c>
      <c r="AB394" s="135" t="s">
        <v>187</v>
      </c>
      <c r="AF394" s="135" t="s">
        <v>19</v>
      </c>
      <c r="AO394" s="137"/>
      <c r="AP394" s="136"/>
    </row>
    <row r="395" spans="2:42" s="135" customFormat="1" x14ac:dyDescent="0.35">
      <c r="B395" s="136">
        <v>313007</v>
      </c>
      <c r="C395" s="135" t="s">
        <v>1031</v>
      </c>
      <c r="E395" s="137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9"/>
      <c r="T395" s="139"/>
      <c r="U395" s="139"/>
      <c r="V395" s="139"/>
      <c r="W395" s="139"/>
      <c r="X395" s="136"/>
      <c r="Y395" s="135" t="s">
        <v>19</v>
      </c>
      <c r="AA395" s="136">
        <v>3130</v>
      </c>
      <c r="AB395" s="135" t="s">
        <v>187</v>
      </c>
      <c r="AF395" s="135" t="s">
        <v>19</v>
      </c>
      <c r="AO395" s="137"/>
      <c r="AP395" s="136"/>
    </row>
    <row r="396" spans="2:42" s="135" customFormat="1" x14ac:dyDescent="0.35">
      <c r="B396" s="136">
        <v>313008</v>
      </c>
      <c r="C396" s="135" t="s">
        <v>1032</v>
      </c>
      <c r="E396" s="137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9"/>
      <c r="T396" s="139"/>
      <c r="U396" s="139"/>
      <c r="V396" s="139"/>
      <c r="W396" s="139"/>
      <c r="X396" s="136"/>
      <c r="Y396" s="135" t="s">
        <v>19</v>
      </c>
      <c r="AA396" s="136">
        <v>3130</v>
      </c>
      <c r="AB396" s="135" t="s">
        <v>187</v>
      </c>
      <c r="AF396" s="135" t="s">
        <v>19</v>
      </c>
      <c r="AO396" s="137"/>
      <c r="AP396" s="136"/>
    </row>
    <row r="397" spans="2:42" ht="16.5" x14ac:dyDescent="0.2">
      <c r="B397" s="45">
        <v>300202</v>
      </c>
      <c r="C397" s="29" t="s">
        <v>1033</v>
      </c>
      <c r="F397" s="29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29"/>
      <c r="T397" s="29"/>
      <c r="U397" s="29"/>
      <c r="V397" s="29"/>
      <c r="W397" s="29"/>
      <c r="Y397" s="29" t="s">
        <v>19</v>
      </c>
      <c r="AA397" s="45">
        <v>3002</v>
      </c>
      <c r="AB397" s="29" t="s">
        <v>187</v>
      </c>
      <c r="AE397" s="29" t="s">
        <v>19</v>
      </c>
      <c r="AF397" s="29" t="s">
        <v>19</v>
      </c>
    </row>
    <row r="398" spans="2:42" ht="16.5" x14ac:dyDescent="0.2">
      <c r="B398" s="45">
        <v>300203</v>
      </c>
      <c r="C398" s="29" t="s">
        <v>1034</v>
      </c>
      <c r="F398" s="29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29"/>
      <c r="T398" s="29"/>
      <c r="U398" s="29"/>
      <c r="V398" s="29"/>
      <c r="W398" s="29"/>
      <c r="Y398" s="29" t="s">
        <v>19</v>
      </c>
      <c r="AA398" s="45">
        <v>3002</v>
      </c>
      <c r="AB398" s="29" t="s">
        <v>187</v>
      </c>
      <c r="AE398" s="29" t="s">
        <v>19</v>
      </c>
      <c r="AF398" s="29" t="s">
        <v>19</v>
      </c>
    </row>
    <row r="399" spans="2:42" ht="16.5" x14ac:dyDescent="0.2">
      <c r="B399" s="45">
        <v>300204</v>
      </c>
      <c r="C399" s="29" t="s">
        <v>1035</v>
      </c>
      <c r="F399" s="29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29"/>
      <c r="T399" s="29"/>
      <c r="U399" s="29"/>
      <c r="V399" s="29"/>
      <c r="W399" s="29"/>
      <c r="Y399" s="29" t="s">
        <v>35</v>
      </c>
      <c r="AA399" s="45">
        <v>3002</v>
      </c>
      <c r="AB399" s="29" t="s">
        <v>187</v>
      </c>
      <c r="AE399" s="29" t="s">
        <v>19</v>
      </c>
      <c r="AF399" s="29" t="s">
        <v>19</v>
      </c>
    </row>
    <row r="400" spans="2:42" ht="16.5" x14ac:dyDescent="0.2">
      <c r="B400" s="45">
        <v>300205</v>
      </c>
      <c r="C400" s="29" t="s">
        <v>1036</v>
      </c>
      <c r="F400" s="29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29"/>
      <c r="T400" s="29"/>
      <c r="U400" s="29"/>
      <c r="V400" s="29"/>
      <c r="W400" s="29"/>
      <c r="Y400" s="29" t="s">
        <v>35</v>
      </c>
      <c r="AA400" s="45">
        <v>3002</v>
      </c>
      <c r="AB400" s="29" t="s">
        <v>187</v>
      </c>
      <c r="AE400" s="29" t="s">
        <v>19</v>
      </c>
      <c r="AF400" s="29" t="s">
        <v>35</v>
      </c>
    </row>
    <row r="401" spans="2:32" ht="16.5" x14ac:dyDescent="0.2">
      <c r="B401" s="45">
        <v>300206</v>
      </c>
      <c r="C401" s="29" t="s">
        <v>1037</v>
      </c>
      <c r="F401" s="29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29"/>
      <c r="T401" s="29"/>
      <c r="U401" s="29"/>
      <c r="V401" s="29"/>
      <c r="W401" s="29"/>
      <c r="Y401" s="29" t="s">
        <v>35</v>
      </c>
      <c r="AA401" s="45">
        <v>3002</v>
      </c>
      <c r="AB401" s="29" t="s">
        <v>187</v>
      </c>
      <c r="AE401" s="29" t="s">
        <v>19</v>
      </c>
      <c r="AF401" s="29" t="s">
        <v>35</v>
      </c>
    </row>
    <row r="402" spans="2:32" ht="16.5" x14ac:dyDescent="0.2">
      <c r="B402" s="45">
        <v>300207</v>
      </c>
      <c r="C402" s="29" t="s">
        <v>1033</v>
      </c>
      <c r="F402" s="29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29"/>
      <c r="T402" s="29"/>
      <c r="U402" s="29"/>
      <c r="V402" s="29"/>
      <c r="W402" s="29"/>
      <c r="Y402" s="29" t="s">
        <v>19</v>
      </c>
      <c r="AA402" s="45">
        <v>3002</v>
      </c>
      <c r="AB402" s="29" t="s">
        <v>187</v>
      </c>
      <c r="AE402" s="29" t="s">
        <v>19</v>
      </c>
      <c r="AF402" s="29" t="s">
        <v>19</v>
      </c>
    </row>
    <row r="403" spans="2:32" ht="16.5" x14ac:dyDescent="0.2">
      <c r="B403" s="45">
        <v>300208</v>
      </c>
      <c r="C403" s="29" t="s">
        <v>1034</v>
      </c>
      <c r="F403" s="29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29"/>
      <c r="T403" s="29"/>
      <c r="U403" s="29"/>
      <c r="V403" s="29"/>
      <c r="W403" s="29"/>
      <c r="Y403" s="29" t="s">
        <v>19</v>
      </c>
      <c r="AA403" s="45">
        <v>3002</v>
      </c>
      <c r="AB403" s="29" t="s">
        <v>187</v>
      </c>
      <c r="AE403" s="29" t="s">
        <v>19</v>
      </c>
      <c r="AF403" s="29" t="s">
        <v>19</v>
      </c>
    </row>
    <row r="404" spans="2:32" x14ac:dyDescent="0.35">
      <c r="B404" s="45">
        <v>300302</v>
      </c>
      <c r="C404" s="29" t="s">
        <v>1038</v>
      </c>
      <c r="Y404" s="29" t="s">
        <v>19</v>
      </c>
      <c r="AA404" s="45">
        <v>3003</v>
      </c>
      <c r="AB404" s="29" t="s">
        <v>187</v>
      </c>
    </row>
    <row r="405" spans="2:32" x14ac:dyDescent="0.35">
      <c r="B405" s="45">
        <v>300303</v>
      </c>
      <c r="C405" s="29" t="s">
        <v>1039</v>
      </c>
      <c r="Y405" s="29" t="s">
        <v>35</v>
      </c>
      <c r="AA405" s="45">
        <v>3003</v>
      </c>
      <c r="AB405" s="29" t="s">
        <v>187</v>
      </c>
      <c r="AD405" s="29" t="s">
        <v>431</v>
      </c>
      <c r="AE405" s="29" t="s">
        <v>19</v>
      </c>
      <c r="AF405" s="29" t="s">
        <v>189</v>
      </c>
    </row>
    <row r="406" spans="2:32" ht="16.5" x14ac:dyDescent="0.2">
      <c r="B406" s="45">
        <v>300304</v>
      </c>
      <c r="C406" s="29" t="s">
        <v>1040</v>
      </c>
      <c r="F406" s="29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29"/>
      <c r="T406" s="29"/>
      <c r="U406" s="29"/>
      <c r="V406" s="29"/>
      <c r="W406" s="29"/>
      <c r="Y406" s="29" t="s">
        <v>19</v>
      </c>
      <c r="AA406" s="45">
        <v>3003</v>
      </c>
      <c r="AB406" s="29" t="s">
        <v>187</v>
      </c>
    </row>
    <row r="407" spans="2:32" ht="16.5" x14ac:dyDescent="0.2">
      <c r="B407" s="45">
        <v>300306</v>
      </c>
      <c r="C407" s="29" t="s">
        <v>1041</v>
      </c>
      <c r="F407" s="29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29"/>
      <c r="T407" s="29"/>
      <c r="U407" s="29"/>
      <c r="V407" s="29"/>
      <c r="W407" s="29"/>
      <c r="Y407" s="29" t="s">
        <v>19</v>
      </c>
      <c r="AA407" s="45">
        <v>3003</v>
      </c>
      <c r="AB407" s="29" t="s">
        <v>187</v>
      </c>
      <c r="AD407" s="29" t="s">
        <v>431</v>
      </c>
      <c r="AE407" s="29" t="s">
        <v>19</v>
      </c>
      <c r="AF407" s="29" t="s">
        <v>189</v>
      </c>
    </row>
    <row r="408" spans="2:32" x14ac:dyDescent="0.35">
      <c r="B408" s="45">
        <v>303007</v>
      </c>
      <c r="C408" s="29" t="s">
        <v>1038</v>
      </c>
      <c r="Y408" s="29" t="s">
        <v>19</v>
      </c>
      <c r="AA408" s="45">
        <v>3003</v>
      </c>
      <c r="AB408" s="29" t="s">
        <v>187</v>
      </c>
    </row>
    <row r="409" spans="2:32" x14ac:dyDescent="0.35">
      <c r="B409" s="45">
        <v>40075501</v>
      </c>
      <c r="C409" s="29" t="s">
        <v>1042</v>
      </c>
      <c r="F409" s="29"/>
      <c r="X409" s="45"/>
      <c r="Y409" s="29" t="s">
        <v>19</v>
      </c>
      <c r="AA409" s="45">
        <v>400755</v>
      </c>
      <c r="AB409" s="29" t="s">
        <v>187</v>
      </c>
    </row>
    <row r="410" spans="2:32" x14ac:dyDescent="0.35">
      <c r="B410" s="45">
        <v>40075514</v>
      </c>
      <c r="C410" s="29" t="s">
        <v>1043</v>
      </c>
      <c r="F410" s="77"/>
      <c r="Y410" s="29" t="s">
        <v>19</v>
      </c>
      <c r="AA410" s="45">
        <v>400755</v>
      </c>
      <c r="AB410" s="29" t="s">
        <v>187</v>
      </c>
    </row>
    <row r="411" spans="2:32" x14ac:dyDescent="0.35">
      <c r="B411" s="45">
        <v>40075502</v>
      </c>
      <c r="C411" s="29" t="s">
        <v>1044</v>
      </c>
      <c r="F411" s="29"/>
      <c r="X411" s="45"/>
      <c r="Y411" s="29" t="s">
        <v>35</v>
      </c>
      <c r="AA411" s="45">
        <v>400755</v>
      </c>
      <c r="AB411" s="29" t="s">
        <v>187</v>
      </c>
      <c r="AE411" s="29" t="s">
        <v>19</v>
      </c>
      <c r="AF411" s="29" t="s">
        <v>209</v>
      </c>
    </row>
    <row r="412" spans="2:32" x14ac:dyDescent="0.35">
      <c r="B412" s="45">
        <v>40075503</v>
      </c>
      <c r="C412" s="29" t="s">
        <v>1045</v>
      </c>
      <c r="F412" s="29"/>
      <c r="X412" s="45"/>
      <c r="Y412" s="29" t="s">
        <v>35</v>
      </c>
      <c r="AA412" s="45">
        <v>400755</v>
      </c>
      <c r="AB412" s="29" t="s">
        <v>187</v>
      </c>
      <c r="AE412" s="29" t="s">
        <v>19</v>
      </c>
      <c r="AF412" s="29" t="s">
        <v>225</v>
      </c>
    </row>
    <row r="413" spans="2:32" x14ac:dyDescent="0.35">
      <c r="B413" s="45">
        <v>40075504</v>
      </c>
      <c r="C413" s="29" t="s">
        <v>1046</v>
      </c>
      <c r="F413" s="29"/>
      <c r="X413" s="45"/>
      <c r="Y413" s="29" t="s">
        <v>35</v>
      </c>
      <c r="AA413" s="45">
        <v>400755</v>
      </c>
      <c r="AB413" s="29" t="s">
        <v>187</v>
      </c>
      <c r="AE413" s="29" t="s">
        <v>19</v>
      </c>
      <c r="AF413" s="29" t="s">
        <v>976</v>
      </c>
    </row>
    <row r="414" spans="2:32" x14ac:dyDescent="0.35">
      <c r="B414" s="45">
        <v>40075505</v>
      </c>
      <c r="C414" s="29" t="s">
        <v>1047</v>
      </c>
      <c r="F414" s="29"/>
      <c r="X414" s="45"/>
      <c r="Y414" s="29" t="s">
        <v>35</v>
      </c>
      <c r="AA414" s="45">
        <v>400755</v>
      </c>
      <c r="AB414" s="29" t="s">
        <v>187</v>
      </c>
    </row>
    <row r="415" spans="2:32" x14ac:dyDescent="0.35">
      <c r="B415" s="45">
        <v>40075506</v>
      </c>
      <c r="C415" s="29" t="s">
        <v>1048</v>
      </c>
      <c r="F415" s="29"/>
      <c r="X415" s="45"/>
      <c r="Y415" s="29" t="s">
        <v>35</v>
      </c>
      <c r="AA415" s="45">
        <v>400755</v>
      </c>
      <c r="AB415" s="29" t="s">
        <v>187</v>
      </c>
      <c r="AD415" s="29" t="s">
        <v>809</v>
      </c>
      <c r="AE415" s="29" t="s">
        <v>19</v>
      </c>
      <c r="AF415" s="29" t="s">
        <v>940</v>
      </c>
    </row>
    <row r="416" spans="2:32" x14ac:dyDescent="0.35">
      <c r="B416" s="45">
        <v>40075507</v>
      </c>
      <c r="C416" s="29" t="s">
        <v>1049</v>
      </c>
      <c r="F416" s="29"/>
      <c r="X416" s="45"/>
      <c r="Y416" s="29" t="s">
        <v>35</v>
      </c>
      <c r="AA416" s="45">
        <v>400755</v>
      </c>
      <c r="AB416" s="29" t="s">
        <v>187</v>
      </c>
      <c r="AE416" s="29" t="s">
        <v>19</v>
      </c>
      <c r="AF416" s="29" t="s">
        <v>209</v>
      </c>
    </row>
    <row r="417" spans="2:42" x14ac:dyDescent="0.35">
      <c r="B417" s="45">
        <v>40075508</v>
      </c>
      <c r="C417" s="29" t="s">
        <v>1050</v>
      </c>
      <c r="F417" s="77"/>
      <c r="Y417" s="29" t="s">
        <v>220</v>
      </c>
      <c r="AA417" s="45">
        <v>400755</v>
      </c>
      <c r="AB417" s="29" t="s">
        <v>187</v>
      </c>
      <c r="AE417" s="29" t="s">
        <v>19</v>
      </c>
      <c r="AF417" s="29" t="s">
        <v>943</v>
      </c>
    </row>
    <row r="418" spans="2:42" x14ac:dyDescent="0.35">
      <c r="B418" s="45">
        <v>40075509</v>
      </c>
      <c r="C418" s="29" t="s">
        <v>1051</v>
      </c>
      <c r="F418" s="77"/>
      <c r="Y418" s="29" t="s">
        <v>220</v>
      </c>
      <c r="AA418" s="45">
        <v>400755</v>
      </c>
      <c r="AB418" s="29" t="s">
        <v>187</v>
      </c>
      <c r="AE418" s="29" t="s">
        <v>19</v>
      </c>
      <c r="AF418" s="29" t="s">
        <v>943</v>
      </c>
    </row>
    <row r="419" spans="2:42" ht="16.5" x14ac:dyDescent="0.2">
      <c r="B419" s="45">
        <v>330101</v>
      </c>
      <c r="C419" s="25" t="s">
        <v>1052</v>
      </c>
      <c r="F419" s="29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29"/>
      <c r="T419" s="29"/>
      <c r="U419" s="29"/>
      <c r="V419" s="29"/>
      <c r="W419" s="29"/>
      <c r="Y419" s="29" t="s">
        <v>19</v>
      </c>
      <c r="AA419" s="45">
        <v>3301</v>
      </c>
      <c r="AB419" s="29" t="s">
        <v>187</v>
      </c>
      <c r="AE419" s="29" t="s">
        <v>19</v>
      </c>
      <c r="AF419" s="29" t="s">
        <v>19</v>
      </c>
    </row>
    <row r="420" spans="2:42" x14ac:dyDescent="0.35">
      <c r="B420" s="45">
        <v>400107</v>
      </c>
      <c r="C420" s="29" t="s">
        <v>1053</v>
      </c>
      <c r="Y420" s="29" t="s">
        <v>35</v>
      </c>
      <c r="AA420" s="45">
        <v>4001</v>
      </c>
      <c r="AB420" s="29" t="s">
        <v>187</v>
      </c>
      <c r="AE420" s="29" t="s">
        <v>19</v>
      </c>
      <c r="AF420" s="29" t="s">
        <v>19</v>
      </c>
    </row>
    <row r="421" spans="2:42" x14ac:dyDescent="0.35">
      <c r="B421" s="45">
        <v>400108</v>
      </c>
      <c r="C421" s="29" t="s">
        <v>1054</v>
      </c>
      <c r="Y421" s="29" t="s">
        <v>220</v>
      </c>
      <c r="AA421" s="45">
        <v>4001</v>
      </c>
      <c r="AB421" s="29" t="s">
        <v>187</v>
      </c>
      <c r="AE421" s="29" t="s">
        <v>19</v>
      </c>
      <c r="AF421" s="29" t="s">
        <v>19</v>
      </c>
    </row>
    <row r="422" spans="2:42" x14ac:dyDescent="0.35">
      <c r="B422" s="45">
        <v>400109</v>
      </c>
      <c r="C422" s="29" t="s">
        <v>1055</v>
      </c>
      <c r="Y422" s="29" t="s">
        <v>35</v>
      </c>
      <c r="AA422" s="45">
        <v>4001</v>
      </c>
      <c r="AB422" s="29" t="s">
        <v>187</v>
      </c>
      <c r="AE422" s="29" t="s">
        <v>19</v>
      </c>
      <c r="AF422" s="29" t="s">
        <v>19</v>
      </c>
    </row>
    <row r="423" spans="2:42" x14ac:dyDescent="0.35">
      <c r="B423" s="45">
        <v>400110</v>
      </c>
      <c r="C423" s="29" t="s">
        <v>1056</v>
      </c>
      <c r="Y423" s="29" t="s">
        <v>35</v>
      </c>
      <c r="AA423" s="45">
        <v>4001</v>
      </c>
      <c r="AB423" s="29" t="s">
        <v>187</v>
      </c>
      <c r="AE423" s="29" t="s">
        <v>19</v>
      </c>
      <c r="AF423" s="29" t="s">
        <v>19</v>
      </c>
    </row>
    <row r="424" spans="2:42" s="135" customFormat="1" x14ac:dyDescent="0.35">
      <c r="B424" s="136">
        <v>400111</v>
      </c>
      <c r="C424" s="135" t="s">
        <v>1057</v>
      </c>
      <c r="D424" s="135" t="s">
        <v>1058</v>
      </c>
      <c r="E424" s="137"/>
      <c r="F424" s="139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9"/>
      <c r="T424" s="139"/>
      <c r="U424" s="139"/>
      <c r="V424" s="139"/>
      <c r="W424" s="139"/>
      <c r="Y424" s="135" t="s">
        <v>35</v>
      </c>
      <c r="AA424" s="136">
        <v>4001</v>
      </c>
      <c r="AB424" s="135" t="s">
        <v>19</v>
      </c>
      <c r="AO424" s="137"/>
      <c r="AP424" s="136"/>
    </row>
    <row r="425" spans="2:42" s="135" customFormat="1" x14ac:dyDescent="0.35">
      <c r="B425" s="136">
        <v>400112</v>
      </c>
      <c r="C425" s="135" t="s">
        <v>1057</v>
      </c>
      <c r="D425" s="135" t="s">
        <v>1059</v>
      </c>
      <c r="E425" s="137"/>
      <c r="F425" s="139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9"/>
      <c r="T425" s="139"/>
      <c r="U425" s="139"/>
      <c r="V425" s="139"/>
      <c r="W425" s="139"/>
      <c r="Y425" s="135" t="s">
        <v>35</v>
      </c>
      <c r="AA425" s="136">
        <v>4001</v>
      </c>
      <c r="AB425" s="135" t="s">
        <v>19</v>
      </c>
      <c r="AO425" s="137"/>
      <c r="AP425" s="136"/>
    </row>
    <row r="426" spans="2:42" s="135" customFormat="1" x14ac:dyDescent="0.35">
      <c r="B426" s="136">
        <v>400113</v>
      </c>
      <c r="C426" s="135" t="s">
        <v>1057</v>
      </c>
      <c r="D426" s="135" t="s">
        <v>1060</v>
      </c>
      <c r="E426" s="137"/>
      <c r="F426" s="139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9"/>
      <c r="T426" s="139"/>
      <c r="U426" s="139"/>
      <c r="V426" s="139"/>
      <c r="W426" s="139"/>
      <c r="Y426" s="135" t="s">
        <v>35</v>
      </c>
      <c r="AA426" s="136">
        <v>4001</v>
      </c>
      <c r="AB426" s="135" t="s">
        <v>19</v>
      </c>
      <c r="AO426" s="137"/>
      <c r="AP426" s="136"/>
    </row>
    <row r="427" spans="2:42" s="135" customFormat="1" x14ac:dyDescent="0.35">
      <c r="B427" s="136">
        <v>400114</v>
      </c>
      <c r="C427" s="135" t="s">
        <v>1057</v>
      </c>
      <c r="D427" s="135" t="s">
        <v>1061</v>
      </c>
      <c r="E427" s="137"/>
      <c r="F427" s="139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9"/>
      <c r="T427" s="139"/>
      <c r="U427" s="139"/>
      <c r="V427" s="139"/>
      <c r="W427" s="139"/>
      <c r="X427" s="136"/>
      <c r="Y427" s="135" t="s">
        <v>19</v>
      </c>
      <c r="AA427" s="136" t="s">
        <v>821</v>
      </c>
      <c r="AB427" s="135" t="s">
        <v>19</v>
      </c>
      <c r="AO427" s="137"/>
      <c r="AP427" s="136"/>
    </row>
    <row r="428" spans="2:42" s="135" customFormat="1" x14ac:dyDescent="0.35">
      <c r="B428" s="136">
        <v>400115</v>
      </c>
      <c r="C428" s="135" t="s">
        <v>1057</v>
      </c>
      <c r="D428" s="135" t="s">
        <v>1062</v>
      </c>
      <c r="E428" s="137"/>
      <c r="F428" s="139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9"/>
      <c r="T428" s="139"/>
      <c r="U428" s="139"/>
      <c r="V428" s="139"/>
      <c r="W428" s="139"/>
      <c r="X428" s="136"/>
      <c r="Y428" s="135" t="s">
        <v>19</v>
      </c>
      <c r="AA428" s="136" t="s">
        <v>821</v>
      </c>
      <c r="AB428" s="135" t="s">
        <v>19</v>
      </c>
      <c r="AO428" s="137"/>
      <c r="AP428" s="136"/>
    </row>
    <row r="429" spans="2:42" s="135" customFormat="1" x14ac:dyDescent="0.35">
      <c r="B429" s="136">
        <v>400116</v>
      </c>
      <c r="C429" s="135" t="s">
        <v>1057</v>
      </c>
      <c r="D429" s="135" t="s">
        <v>1063</v>
      </c>
      <c r="E429" s="137"/>
      <c r="F429" s="139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9"/>
      <c r="T429" s="139"/>
      <c r="U429" s="139"/>
      <c r="V429" s="139"/>
      <c r="W429" s="139"/>
      <c r="X429" s="136"/>
      <c r="Y429" s="135" t="s">
        <v>19</v>
      </c>
      <c r="AA429" s="136" t="s">
        <v>821</v>
      </c>
      <c r="AB429" s="135" t="s">
        <v>19</v>
      </c>
      <c r="AO429" s="137"/>
      <c r="AP429" s="136"/>
    </row>
    <row r="430" spans="2:42" x14ac:dyDescent="0.35">
      <c r="B430" s="45">
        <v>40076601</v>
      </c>
      <c r="C430" s="25" t="s">
        <v>1064</v>
      </c>
      <c r="Y430" s="29" t="s">
        <v>19</v>
      </c>
      <c r="AA430" s="45">
        <v>400766</v>
      </c>
      <c r="AB430" s="29" t="s">
        <v>187</v>
      </c>
      <c r="AE430" s="29" t="s">
        <v>19</v>
      </c>
      <c r="AF430" s="29" t="s">
        <v>209</v>
      </c>
    </row>
    <row r="431" spans="2:42" x14ac:dyDescent="0.35">
      <c r="B431" s="45">
        <v>40076602</v>
      </c>
      <c r="C431" s="29" t="s">
        <v>1065</v>
      </c>
      <c r="Y431" s="29">
        <v>3</v>
      </c>
      <c r="AA431" s="45">
        <v>400766</v>
      </c>
      <c r="AB431" s="29">
        <v>0</v>
      </c>
      <c r="AD431" s="29">
        <v>5</v>
      </c>
      <c r="AE431" s="29">
        <v>1</v>
      </c>
      <c r="AF431" s="29">
        <v>10</v>
      </c>
    </row>
    <row r="432" spans="2:42" x14ac:dyDescent="0.35">
      <c r="B432" s="45">
        <v>40076603</v>
      </c>
      <c r="C432" s="29" t="s">
        <v>1066</v>
      </c>
      <c r="F432" s="29"/>
      <c r="X432" s="45"/>
      <c r="Y432" s="29" t="s">
        <v>19</v>
      </c>
      <c r="AA432" s="45">
        <v>400766</v>
      </c>
      <c r="AB432" s="29" t="s">
        <v>187</v>
      </c>
      <c r="AE432" s="29" t="s">
        <v>19</v>
      </c>
      <c r="AF432" s="29" t="s">
        <v>209</v>
      </c>
    </row>
    <row r="433" spans="2:32" x14ac:dyDescent="0.35">
      <c r="B433" s="45">
        <v>40076604</v>
      </c>
      <c r="C433" s="29" t="s">
        <v>1067</v>
      </c>
      <c r="F433" s="29"/>
      <c r="X433" s="45"/>
      <c r="Y433" s="29" t="s">
        <v>19</v>
      </c>
      <c r="AA433" s="45">
        <v>400766</v>
      </c>
      <c r="AB433" s="29" t="s">
        <v>187</v>
      </c>
      <c r="AD433" s="29" t="s">
        <v>189</v>
      </c>
      <c r="AE433" s="29" t="s">
        <v>19</v>
      </c>
      <c r="AF433" s="29" t="s">
        <v>209</v>
      </c>
    </row>
    <row r="434" spans="2:32" x14ac:dyDescent="0.35">
      <c r="B434" s="45">
        <v>40076605</v>
      </c>
      <c r="C434" s="29" t="s">
        <v>1068</v>
      </c>
      <c r="Y434" s="29" t="s">
        <v>19</v>
      </c>
      <c r="AA434" s="45">
        <v>400766</v>
      </c>
      <c r="AB434" s="29" t="s">
        <v>187</v>
      </c>
      <c r="AD434" s="29" t="s">
        <v>189</v>
      </c>
      <c r="AE434" s="29" t="s">
        <v>19</v>
      </c>
      <c r="AF434" s="29" t="s">
        <v>341</v>
      </c>
    </row>
    <row r="435" spans="2:32" x14ac:dyDescent="0.35">
      <c r="B435" s="45">
        <v>40076606</v>
      </c>
      <c r="C435" s="29" t="s">
        <v>1069</v>
      </c>
      <c r="F435" s="29"/>
      <c r="X435" s="45"/>
      <c r="Y435" s="29" t="s">
        <v>19</v>
      </c>
      <c r="AA435" s="45">
        <v>400766</v>
      </c>
      <c r="AB435" s="29" t="s">
        <v>187</v>
      </c>
      <c r="AD435" s="29" t="s">
        <v>189</v>
      </c>
      <c r="AE435" s="29" t="s">
        <v>19</v>
      </c>
      <c r="AF435" s="29" t="s">
        <v>341</v>
      </c>
    </row>
    <row r="436" spans="2:32" x14ac:dyDescent="0.35">
      <c r="B436" s="45">
        <v>40076607</v>
      </c>
      <c r="C436" s="29" t="s">
        <v>1070</v>
      </c>
      <c r="F436" s="29"/>
      <c r="X436" s="45"/>
      <c r="Y436" s="29" t="s">
        <v>19</v>
      </c>
      <c r="AA436" s="45">
        <v>400766</v>
      </c>
      <c r="AB436" s="29" t="s">
        <v>187</v>
      </c>
      <c r="AD436" s="29" t="s">
        <v>189</v>
      </c>
      <c r="AE436" s="29" t="s">
        <v>19</v>
      </c>
      <c r="AF436" s="29" t="s">
        <v>940</v>
      </c>
    </row>
    <row r="437" spans="2:32" x14ac:dyDescent="0.35">
      <c r="B437" s="45">
        <v>400201</v>
      </c>
      <c r="C437" s="29" t="s">
        <v>1071</v>
      </c>
      <c r="Y437" s="29" t="s">
        <v>35</v>
      </c>
      <c r="AA437" s="45">
        <v>4002</v>
      </c>
      <c r="AB437" s="29" t="s">
        <v>187</v>
      </c>
    </row>
    <row r="438" spans="2:32" x14ac:dyDescent="0.35">
      <c r="B438" s="45">
        <v>400202</v>
      </c>
      <c r="C438" s="29" t="s">
        <v>1071</v>
      </c>
      <c r="Y438" s="29" t="s">
        <v>35</v>
      </c>
      <c r="AA438" s="45">
        <v>4002</v>
      </c>
      <c r="AB438" s="29" t="s">
        <v>187</v>
      </c>
    </row>
    <row r="439" spans="2:32" x14ac:dyDescent="0.35">
      <c r="B439" s="45">
        <v>400203</v>
      </c>
      <c r="C439" s="29" t="s">
        <v>1071</v>
      </c>
      <c r="Y439" s="29" t="s">
        <v>35</v>
      </c>
      <c r="AA439" s="45">
        <v>4002</v>
      </c>
      <c r="AB439" s="29" t="s">
        <v>187</v>
      </c>
    </row>
    <row r="440" spans="2:32" x14ac:dyDescent="0.35">
      <c r="B440" s="45">
        <v>400204</v>
      </c>
      <c r="C440" s="29" t="s">
        <v>1071</v>
      </c>
      <c r="Y440" s="29" t="s">
        <v>35</v>
      </c>
      <c r="AA440" s="45">
        <v>4002</v>
      </c>
      <c r="AB440" s="29" t="s">
        <v>187</v>
      </c>
    </row>
    <row r="441" spans="2:32" x14ac:dyDescent="0.35">
      <c r="B441" s="45">
        <v>400205</v>
      </c>
      <c r="C441" s="29" t="s">
        <v>1071</v>
      </c>
      <c r="Y441" s="29" t="s">
        <v>35</v>
      </c>
      <c r="AA441" s="45">
        <v>4002</v>
      </c>
      <c r="AB441" s="29" t="s">
        <v>187</v>
      </c>
    </row>
    <row r="442" spans="2:32" x14ac:dyDescent="0.35">
      <c r="B442" s="45">
        <v>400206</v>
      </c>
      <c r="C442" s="29" t="s">
        <v>1071</v>
      </c>
      <c r="Y442" s="29" t="s">
        <v>35</v>
      </c>
      <c r="AA442" s="45">
        <v>4002</v>
      </c>
      <c r="AB442" s="29" t="s">
        <v>187</v>
      </c>
    </row>
    <row r="443" spans="2:32" x14ac:dyDescent="0.35">
      <c r="B443" s="45">
        <v>40010001</v>
      </c>
      <c r="C443" s="29" t="s">
        <v>1072</v>
      </c>
      <c r="Y443" s="29" t="s">
        <v>35</v>
      </c>
      <c r="AA443" s="45">
        <v>400100</v>
      </c>
      <c r="AB443" s="29" t="s">
        <v>187</v>
      </c>
    </row>
    <row r="444" spans="2:32" x14ac:dyDescent="0.35">
      <c r="B444" s="45">
        <v>40010002</v>
      </c>
      <c r="C444" s="29" t="s">
        <v>1073</v>
      </c>
      <c r="Y444" s="29" t="s">
        <v>35</v>
      </c>
      <c r="AA444" s="45">
        <v>400100</v>
      </c>
      <c r="AB444" s="29" t="s">
        <v>187</v>
      </c>
    </row>
    <row r="445" spans="2:32" x14ac:dyDescent="0.35">
      <c r="B445" s="45">
        <v>40010003</v>
      </c>
      <c r="C445" s="29" t="s">
        <v>1074</v>
      </c>
      <c r="D445" s="29" t="s">
        <v>1075</v>
      </c>
      <c r="Y445" s="29" t="s">
        <v>35</v>
      </c>
      <c r="AA445" s="45">
        <v>400100</v>
      </c>
      <c r="AB445" s="29" t="s">
        <v>187</v>
      </c>
    </row>
    <row r="446" spans="2:32" x14ac:dyDescent="0.35">
      <c r="B446" s="45">
        <v>40010004</v>
      </c>
      <c r="C446" s="29" t="s">
        <v>1076</v>
      </c>
      <c r="Y446" s="29" t="s">
        <v>19</v>
      </c>
      <c r="AA446" s="45">
        <v>400100</v>
      </c>
      <c r="AB446" s="29" t="s">
        <v>187</v>
      </c>
    </row>
    <row r="447" spans="2:32" x14ac:dyDescent="0.35">
      <c r="B447" s="45">
        <v>40010005</v>
      </c>
      <c r="C447" s="29" t="s">
        <v>1077</v>
      </c>
      <c r="Y447" s="29" t="s">
        <v>220</v>
      </c>
      <c r="AA447" s="45">
        <v>400100</v>
      </c>
      <c r="AB447" s="29" t="s">
        <v>187</v>
      </c>
    </row>
    <row r="448" spans="2:32" x14ac:dyDescent="0.35">
      <c r="B448" s="45">
        <v>40010006</v>
      </c>
      <c r="C448" s="29" t="s">
        <v>1078</v>
      </c>
      <c r="Y448" s="29" t="s">
        <v>35</v>
      </c>
      <c r="AA448" s="45">
        <v>400100</v>
      </c>
      <c r="AB448" s="29" t="s">
        <v>187</v>
      </c>
    </row>
    <row r="449" spans="2:32" x14ac:dyDescent="0.35">
      <c r="B449" s="45">
        <v>760701</v>
      </c>
      <c r="C449" s="29" t="s">
        <v>1079</v>
      </c>
      <c r="Y449" s="29" t="s">
        <v>35</v>
      </c>
      <c r="AA449" s="45">
        <v>7607</v>
      </c>
      <c r="AB449" s="29" t="s">
        <v>187</v>
      </c>
    </row>
    <row r="450" spans="2:32" x14ac:dyDescent="0.35">
      <c r="B450" s="45">
        <v>760702</v>
      </c>
      <c r="C450" s="29" t="s">
        <v>1080</v>
      </c>
      <c r="Y450" s="29" t="s">
        <v>35</v>
      </c>
      <c r="AA450" s="45">
        <v>7607</v>
      </c>
      <c r="AB450" s="29" t="s">
        <v>187</v>
      </c>
    </row>
    <row r="451" spans="2:32" x14ac:dyDescent="0.35">
      <c r="B451" s="45">
        <v>760703</v>
      </c>
      <c r="C451" s="29" t="s">
        <v>1081</v>
      </c>
      <c r="Y451" s="29" t="s">
        <v>35</v>
      </c>
      <c r="AA451" s="45">
        <v>7607</v>
      </c>
      <c r="AB451" s="29" t="s">
        <v>187</v>
      </c>
    </row>
    <row r="452" spans="2:32" x14ac:dyDescent="0.35">
      <c r="B452" s="45">
        <v>760704</v>
      </c>
      <c r="C452" s="29" t="s">
        <v>1082</v>
      </c>
      <c r="Y452" s="29" t="s">
        <v>220</v>
      </c>
      <c r="AA452" s="45">
        <v>7607</v>
      </c>
      <c r="AB452" s="29" t="s">
        <v>187</v>
      </c>
    </row>
    <row r="453" spans="2:32" x14ac:dyDescent="0.35">
      <c r="B453" s="45">
        <v>760705</v>
      </c>
      <c r="C453" s="29" t="s">
        <v>1083</v>
      </c>
      <c r="Y453" s="29" t="s">
        <v>220</v>
      </c>
      <c r="AA453" s="45">
        <v>7607</v>
      </c>
      <c r="AB453" s="29" t="s">
        <v>187</v>
      </c>
    </row>
    <row r="454" spans="2:32" x14ac:dyDescent="0.35">
      <c r="B454" s="45">
        <v>760801</v>
      </c>
      <c r="C454" s="29" t="s">
        <v>1084</v>
      </c>
      <c r="Y454" s="29" t="s">
        <v>35</v>
      </c>
      <c r="AA454" s="45">
        <v>7608</v>
      </c>
      <c r="AB454" s="29" t="s">
        <v>187</v>
      </c>
    </row>
    <row r="455" spans="2:32" x14ac:dyDescent="0.35">
      <c r="B455" s="45">
        <v>760802</v>
      </c>
      <c r="C455" s="29" t="s">
        <v>1085</v>
      </c>
      <c r="Y455" s="29" t="s">
        <v>35</v>
      </c>
      <c r="AA455" s="45">
        <v>7608</v>
      </c>
      <c r="AB455" s="29" t="s">
        <v>187</v>
      </c>
    </row>
    <row r="456" spans="2:32" x14ac:dyDescent="0.35">
      <c r="B456" s="45">
        <v>760803</v>
      </c>
      <c r="C456" s="29" t="s">
        <v>1086</v>
      </c>
      <c r="Y456" s="29" t="s">
        <v>35</v>
      </c>
      <c r="AA456" s="45">
        <v>7608</v>
      </c>
      <c r="AB456" s="29" t="s">
        <v>187</v>
      </c>
    </row>
    <row r="457" spans="2:32" x14ac:dyDescent="0.35">
      <c r="B457" s="45">
        <v>801001</v>
      </c>
      <c r="C457" s="29" t="s">
        <v>1087</v>
      </c>
      <c r="Y457" s="29" t="s">
        <v>19</v>
      </c>
      <c r="AA457" s="45">
        <v>8010</v>
      </c>
      <c r="AB457" s="29" t="s">
        <v>187</v>
      </c>
    </row>
    <row r="458" spans="2:32" x14ac:dyDescent="0.35">
      <c r="B458" s="45">
        <v>801002</v>
      </c>
      <c r="C458" s="29" t="s">
        <v>1087</v>
      </c>
      <c r="Y458" s="29" t="s">
        <v>32</v>
      </c>
      <c r="AA458" s="45">
        <v>8010</v>
      </c>
      <c r="AB458" s="29" t="s">
        <v>187</v>
      </c>
    </row>
    <row r="459" spans="2:32" x14ac:dyDescent="0.35">
      <c r="B459" s="45">
        <v>801003</v>
      </c>
      <c r="C459" s="29" t="s">
        <v>1088</v>
      </c>
      <c r="Y459" s="29" t="s">
        <v>32</v>
      </c>
      <c r="AA459" s="45">
        <v>8010</v>
      </c>
      <c r="AB459" s="29" t="s">
        <v>187</v>
      </c>
    </row>
    <row r="460" spans="2:32" x14ac:dyDescent="0.35">
      <c r="B460" s="45">
        <v>330102</v>
      </c>
      <c r="C460" s="29" t="s">
        <v>1089</v>
      </c>
      <c r="Y460" s="29" t="s">
        <v>220</v>
      </c>
      <c r="AA460" s="45">
        <v>330100</v>
      </c>
      <c r="AB460" s="29" t="s">
        <v>19</v>
      </c>
    </row>
    <row r="461" spans="2:32" x14ac:dyDescent="0.35">
      <c r="B461" s="45">
        <v>330103</v>
      </c>
      <c r="C461" s="29" t="s">
        <v>1090</v>
      </c>
      <c r="Y461" s="29" t="s">
        <v>35</v>
      </c>
      <c r="AA461" s="45">
        <v>330100</v>
      </c>
      <c r="AB461" s="29" t="s">
        <v>19</v>
      </c>
      <c r="AE461" s="29" t="s">
        <v>19</v>
      </c>
      <c r="AF461" s="29" t="s">
        <v>35</v>
      </c>
    </row>
    <row r="462" spans="2:32" x14ac:dyDescent="0.35">
      <c r="B462" s="45">
        <v>330104</v>
      </c>
      <c r="C462" s="29" t="s">
        <v>1091</v>
      </c>
      <c r="Y462" s="29" t="s">
        <v>35</v>
      </c>
      <c r="AA462" s="45">
        <v>330100</v>
      </c>
      <c r="AB462" s="29" t="s">
        <v>19</v>
      </c>
      <c r="AE462" s="29" t="s">
        <v>19</v>
      </c>
      <c r="AF462" s="29" t="s">
        <v>32</v>
      </c>
    </row>
    <row r="463" spans="2:32" x14ac:dyDescent="0.35">
      <c r="B463" s="45">
        <v>330105</v>
      </c>
      <c r="C463" s="29" t="s">
        <v>1092</v>
      </c>
      <c r="Y463" s="29" t="s">
        <v>35</v>
      </c>
      <c r="AA463" s="45">
        <v>330100</v>
      </c>
      <c r="AB463" s="29" t="s">
        <v>19</v>
      </c>
      <c r="AE463" s="29" t="s">
        <v>19</v>
      </c>
      <c r="AF463" s="29" t="s">
        <v>32</v>
      </c>
    </row>
    <row r="464" spans="2:32" x14ac:dyDescent="0.35">
      <c r="B464" s="45">
        <v>330106</v>
      </c>
      <c r="C464" s="29" t="s">
        <v>1093</v>
      </c>
      <c r="Y464" s="29" t="s">
        <v>19</v>
      </c>
      <c r="AA464" s="45">
        <v>330100</v>
      </c>
      <c r="AB464" s="29" t="s">
        <v>19</v>
      </c>
      <c r="AE464" s="29" t="s">
        <v>19</v>
      </c>
      <c r="AF464" s="29" t="s">
        <v>32</v>
      </c>
    </row>
    <row r="465" spans="2:42" s="24" customFormat="1" x14ac:dyDescent="0.35">
      <c r="B465" s="74">
        <v>400307</v>
      </c>
      <c r="C465" s="24" t="s">
        <v>1094</v>
      </c>
      <c r="E465" s="87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108"/>
      <c r="T465" s="108"/>
      <c r="U465" s="108"/>
      <c r="V465" s="108"/>
      <c r="W465" s="108"/>
      <c r="Y465" s="24" t="s">
        <v>19</v>
      </c>
      <c r="Z465" s="29"/>
      <c r="AA465" s="74">
        <v>4003</v>
      </c>
      <c r="AB465" s="29" t="s">
        <v>187</v>
      </c>
      <c r="AO465" s="87"/>
      <c r="AP465" s="74"/>
    </row>
    <row r="466" spans="2:42" s="24" customFormat="1" x14ac:dyDescent="0.35">
      <c r="B466" s="74">
        <v>400306</v>
      </c>
      <c r="C466" s="24" t="s">
        <v>1095</v>
      </c>
      <c r="E466" s="87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108"/>
      <c r="T466" s="108"/>
      <c r="U466" s="108"/>
      <c r="V466" s="108"/>
      <c r="W466" s="108"/>
      <c r="Y466" s="24" t="s">
        <v>19</v>
      </c>
      <c r="Z466" s="29"/>
      <c r="AA466" s="74">
        <v>4003</v>
      </c>
      <c r="AB466" s="29" t="s">
        <v>187</v>
      </c>
      <c r="AO466" s="87"/>
      <c r="AP466" s="74"/>
    </row>
    <row r="467" spans="2:42" s="24" customFormat="1" x14ac:dyDescent="0.35">
      <c r="B467" s="74">
        <v>400305</v>
      </c>
      <c r="C467" s="24" t="s">
        <v>1096</v>
      </c>
      <c r="E467" s="87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108"/>
      <c r="T467" s="108"/>
      <c r="U467" s="108"/>
      <c r="V467" s="108"/>
      <c r="W467" s="108"/>
      <c r="Y467" s="24" t="s">
        <v>19</v>
      </c>
      <c r="Z467" s="29"/>
      <c r="AA467" s="74">
        <v>4003</v>
      </c>
      <c r="AB467" s="29" t="s">
        <v>187</v>
      </c>
      <c r="AO467" s="87"/>
      <c r="AP467" s="74"/>
    </row>
    <row r="468" spans="2:42" s="24" customFormat="1" x14ac:dyDescent="0.35">
      <c r="B468" s="74">
        <v>400304</v>
      </c>
      <c r="C468" s="24" t="s">
        <v>1097</v>
      </c>
      <c r="E468" s="87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108"/>
      <c r="T468" s="108"/>
      <c r="U468" s="108"/>
      <c r="V468" s="108"/>
      <c r="W468" s="108"/>
      <c r="Y468" s="24" t="s">
        <v>19</v>
      </c>
      <c r="Z468" s="29"/>
      <c r="AA468" s="74">
        <v>4003</v>
      </c>
      <c r="AB468" s="29" t="s">
        <v>187</v>
      </c>
      <c r="AO468" s="87"/>
      <c r="AP468" s="74"/>
    </row>
    <row r="469" spans="2:42" x14ac:dyDescent="0.35">
      <c r="B469" s="45">
        <v>400404</v>
      </c>
      <c r="C469" s="29" t="s">
        <v>1098</v>
      </c>
      <c r="Y469" s="29" t="s">
        <v>19</v>
      </c>
      <c r="AA469" s="45">
        <v>4003</v>
      </c>
      <c r="AB469" s="29" t="s">
        <v>187</v>
      </c>
    </row>
    <row r="470" spans="2:42" s="24" customFormat="1" x14ac:dyDescent="0.35">
      <c r="B470" s="74">
        <v>40030200</v>
      </c>
      <c r="C470" s="24" t="s">
        <v>1099</v>
      </c>
      <c r="E470" s="87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108"/>
      <c r="T470" s="108"/>
      <c r="U470" s="108"/>
      <c r="V470" s="108"/>
      <c r="W470" s="108"/>
      <c r="Y470" s="24" t="s">
        <v>19</v>
      </c>
      <c r="Z470" s="29"/>
      <c r="AA470" s="74">
        <v>4003</v>
      </c>
      <c r="AB470" s="29" t="s">
        <v>187</v>
      </c>
      <c r="AO470" s="87"/>
      <c r="AP470" s="74"/>
    </row>
    <row r="471" spans="2:42" s="24" customFormat="1" x14ac:dyDescent="0.35">
      <c r="B471" s="74">
        <v>40030201</v>
      </c>
      <c r="C471" s="24" t="s">
        <v>1100</v>
      </c>
      <c r="E471" s="87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108"/>
      <c r="T471" s="108"/>
      <c r="U471" s="108"/>
      <c r="V471" s="108"/>
      <c r="W471" s="108"/>
      <c r="Y471" s="24" t="s">
        <v>19</v>
      </c>
      <c r="Z471" s="29"/>
      <c r="AA471" s="74">
        <v>4003</v>
      </c>
      <c r="AB471" s="29" t="s">
        <v>187</v>
      </c>
      <c r="AO471" s="87"/>
      <c r="AP471" s="74"/>
    </row>
    <row r="472" spans="2:42" s="25" customFormat="1" x14ac:dyDescent="0.35">
      <c r="B472" s="86">
        <v>4003001</v>
      </c>
      <c r="C472" s="25" t="s">
        <v>1101</v>
      </c>
      <c r="E472" s="75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85"/>
      <c r="T472" s="85"/>
      <c r="U472" s="85"/>
      <c r="V472" s="85"/>
      <c r="W472" s="85"/>
      <c r="Y472" s="29" t="s">
        <v>19</v>
      </c>
      <c r="Z472" s="29"/>
      <c r="AA472" s="86">
        <v>4003001</v>
      </c>
      <c r="AB472" s="29" t="s">
        <v>187</v>
      </c>
      <c r="AO472" s="75"/>
      <c r="AP472" s="86"/>
    </row>
    <row r="473" spans="2:42" ht="16.5" x14ac:dyDescent="0.2">
      <c r="B473" s="45">
        <v>2029771</v>
      </c>
      <c r="C473" s="29" t="s">
        <v>1102</v>
      </c>
      <c r="F473" s="77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7"/>
      <c r="T473" s="77"/>
      <c r="U473" s="77"/>
      <c r="V473" s="77"/>
      <c r="W473" s="77"/>
      <c r="Y473" s="29" t="s">
        <v>19</v>
      </c>
      <c r="AA473" s="45">
        <v>202977</v>
      </c>
      <c r="AB473" s="29" t="s">
        <v>187</v>
      </c>
      <c r="AM473" s="46"/>
      <c r="AO473" s="29"/>
    </row>
    <row r="474" spans="2:42" x14ac:dyDescent="0.35">
      <c r="B474" s="45">
        <v>300901</v>
      </c>
      <c r="C474" s="29" t="s">
        <v>1103</v>
      </c>
      <c r="D474" s="29" t="s">
        <v>1103</v>
      </c>
      <c r="Y474" s="29" t="s">
        <v>19</v>
      </c>
      <c r="AA474" s="45">
        <v>300900</v>
      </c>
      <c r="AB474" s="29" t="s">
        <v>187</v>
      </c>
    </row>
    <row r="475" spans="2:42" s="43" customFormat="1" x14ac:dyDescent="0.35">
      <c r="B475" s="95">
        <v>330301</v>
      </c>
      <c r="C475" s="43" t="s">
        <v>1104</v>
      </c>
      <c r="E475" s="96"/>
      <c r="F475" s="111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111"/>
      <c r="T475" s="111"/>
      <c r="U475" s="111"/>
      <c r="V475" s="111"/>
      <c r="W475" s="111"/>
      <c r="Y475" s="43" t="s">
        <v>19</v>
      </c>
      <c r="AA475" s="95">
        <v>3303</v>
      </c>
      <c r="AB475" s="43" t="s">
        <v>187</v>
      </c>
      <c r="AE475" s="43" t="s">
        <v>19</v>
      </c>
      <c r="AF475" s="43" t="s">
        <v>19</v>
      </c>
      <c r="AO475" s="96"/>
      <c r="AP475" s="95"/>
    </row>
    <row r="476" spans="2:42" s="43" customFormat="1" x14ac:dyDescent="0.35">
      <c r="B476" s="95">
        <v>330302</v>
      </c>
      <c r="C476" s="43" t="s">
        <v>1105</v>
      </c>
      <c r="E476" s="96"/>
      <c r="F476" s="111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111"/>
      <c r="T476" s="111"/>
      <c r="U476" s="111"/>
      <c r="V476" s="111"/>
      <c r="W476" s="111"/>
      <c r="Y476" s="43" t="s">
        <v>19</v>
      </c>
      <c r="AA476" s="95">
        <v>3303</v>
      </c>
      <c r="AB476" s="43" t="s">
        <v>187</v>
      </c>
      <c r="AD476" s="43" t="s">
        <v>32</v>
      </c>
      <c r="AE476" s="43" t="s">
        <v>19</v>
      </c>
      <c r="AF476" s="43" t="s">
        <v>69</v>
      </c>
      <c r="AO476" s="96"/>
      <c r="AP476" s="95"/>
    </row>
    <row r="477" spans="2:42" s="43" customFormat="1" x14ac:dyDescent="0.35">
      <c r="B477" s="95">
        <v>330303</v>
      </c>
      <c r="C477" s="43" t="s">
        <v>1106</v>
      </c>
      <c r="E477" s="96"/>
      <c r="F477" s="111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111"/>
      <c r="T477" s="111"/>
      <c r="U477" s="111"/>
      <c r="V477" s="111"/>
      <c r="W477" s="111"/>
      <c r="Y477" s="43" t="s">
        <v>19</v>
      </c>
      <c r="AA477" s="95">
        <v>3303</v>
      </c>
      <c r="AB477" s="43" t="s">
        <v>187</v>
      </c>
      <c r="AE477" s="43" t="s">
        <v>19</v>
      </c>
      <c r="AF477" s="43" t="s">
        <v>19</v>
      </c>
      <c r="AO477" s="96"/>
      <c r="AP477" s="95"/>
    </row>
    <row r="478" spans="2:42" s="43" customFormat="1" x14ac:dyDescent="0.35">
      <c r="B478" s="95">
        <v>330304</v>
      </c>
      <c r="C478" s="43" t="s">
        <v>1107</v>
      </c>
      <c r="E478" s="96"/>
      <c r="F478" s="111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111"/>
      <c r="T478" s="111"/>
      <c r="U478" s="111"/>
      <c r="V478" s="111"/>
      <c r="W478" s="111"/>
      <c r="Y478" s="43" t="s">
        <v>19</v>
      </c>
      <c r="AA478" s="95">
        <v>3303</v>
      </c>
      <c r="AB478" s="43" t="s">
        <v>187</v>
      </c>
      <c r="AD478" s="43" t="s">
        <v>220</v>
      </c>
      <c r="AE478" s="43" t="s">
        <v>19</v>
      </c>
      <c r="AF478" s="43" t="s">
        <v>225</v>
      </c>
      <c r="AO478" s="96"/>
      <c r="AP478" s="95"/>
    </row>
    <row r="479" spans="2:42" x14ac:dyDescent="0.35">
      <c r="B479" s="45">
        <v>913001</v>
      </c>
      <c r="C479" s="29" t="s">
        <v>969</v>
      </c>
      <c r="Y479" s="29" t="s">
        <v>19</v>
      </c>
      <c r="AA479" s="45">
        <v>9130</v>
      </c>
      <c r="AB479" s="29" t="s">
        <v>187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6"/>
  <sheetViews>
    <sheetView workbookViewId="0">
      <selection activeCell="J7" sqref="J7"/>
    </sheetView>
  </sheetViews>
  <sheetFormatPr defaultColWidth="9" defaultRowHeight="14.25" x14ac:dyDescent="0.2"/>
  <cols>
    <col min="1" max="3" width="12.875" style="29" customWidth="1"/>
    <col min="4" max="4" width="24" style="29" customWidth="1"/>
    <col min="5" max="5" width="30.875" style="29" customWidth="1"/>
    <col min="6" max="6" width="48.625" customWidth="1"/>
    <col min="7" max="20" width="9" style="29" customWidth="1"/>
    <col min="21" max="16384" width="9" style="29"/>
  </cols>
  <sheetData>
    <row r="1" spans="1:12" s="23" customFormat="1" x14ac:dyDescent="0.2">
      <c r="A1" s="30" t="s">
        <v>21</v>
      </c>
      <c r="B1" s="30" t="s">
        <v>22</v>
      </c>
      <c r="C1" s="30" t="s">
        <v>2</v>
      </c>
      <c r="D1" s="30" t="s">
        <v>23</v>
      </c>
      <c r="E1" s="30" t="s">
        <v>24</v>
      </c>
      <c r="F1" s="30" t="s">
        <v>25</v>
      </c>
    </row>
    <row r="2" spans="1:12" s="23" customFormat="1" x14ac:dyDescent="0.2">
      <c r="A2" s="30" t="s">
        <v>26</v>
      </c>
      <c r="B2" s="30"/>
      <c r="C2" s="30"/>
      <c r="D2" s="30"/>
      <c r="E2" s="30"/>
      <c r="F2" s="30"/>
    </row>
    <row r="3" spans="1:12" s="23" customFormat="1" x14ac:dyDescent="0.2">
      <c r="A3" s="30" t="s">
        <v>0</v>
      </c>
      <c r="B3" s="30"/>
      <c r="C3" s="30"/>
      <c r="D3" s="30"/>
      <c r="E3" s="30"/>
      <c r="F3" s="30" t="s">
        <v>27</v>
      </c>
    </row>
    <row r="4" spans="1:12" s="23" customFormat="1" x14ac:dyDescent="0.2">
      <c r="A4" s="30" t="s">
        <v>28</v>
      </c>
      <c r="B4" s="30"/>
      <c r="C4" s="30"/>
      <c r="D4" s="30"/>
      <c r="E4" s="30"/>
      <c r="F4" s="30"/>
    </row>
    <row r="5" spans="1:12" s="23" customFormat="1" ht="15" customHeight="1" x14ac:dyDescent="0.2">
      <c r="A5" s="31" t="s">
        <v>18</v>
      </c>
      <c r="B5" s="31"/>
      <c r="C5" s="31"/>
      <c r="D5" s="31"/>
      <c r="E5" s="31"/>
      <c r="F5" s="31"/>
    </row>
    <row r="6" spans="1:12" ht="27.6" customHeight="1" x14ac:dyDescent="0.2">
      <c r="A6" s="32"/>
      <c r="B6" s="32">
        <v>1</v>
      </c>
      <c r="C6" s="32"/>
      <c r="D6" s="32" t="s">
        <v>29</v>
      </c>
      <c r="E6" s="32" t="s">
        <v>30</v>
      </c>
      <c r="F6" s="32" t="s">
        <v>31</v>
      </c>
    </row>
    <row r="7" spans="1:12" ht="16.5" x14ac:dyDescent="0.2">
      <c r="A7" s="32"/>
      <c r="B7" s="32" t="s">
        <v>32</v>
      </c>
      <c r="C7" s="32"/>
      <c r="D7" s="32" t="s">
        <v>33</v>
      </c>
      <c r="E7" s="32" t="s">
        <v>34</v>
      </c>
      <c r="F7" s="32" t="s">
        <v>34</v>
      </c>
    </row>
    <row r="8" spans="1:12" ht="16.5" x14ac:dyDescent="0.2">
      <c r="A8" s="32"/>
      <c r="B8" s="32" t="s">
        <v>35</v>
      </c>
      <c r="C8" s="32"/>
      <c r="D8" s="32" t="s">
        <v>36</v>
      </c>
      <c r="E8" s="32" t="s">
        <v>37</v>
      </c>
      <c r="F8" s="32" t="s">
        <v>38</v>
      </c>
    </row>
    <row r="9" spans="1:12" ht="16.5" x14ac:dyDescent="0.2">
      <c r="A9" s="32"/>
      <c r="B9" s="32"/>
      <c r="C9" s="32"/>
      <c r="D9" s="32"/>
      <c r="E9" s="32"/>
      <c r="F9" s="32"/>
    </row>
    <row r="10" spans="1:12" ht="16.5" x14ac:dyDescent="0.2">
      <c r="A10" s="32"/>
      <c r="B10" s="32"/>
      <c r="C10" s="32"/>
      <c r="D10" s="32"/>
      <c r="E10" s="32"/>
      <c r="F10" s="32"/>
    </row>
    <row r="11" spans="1:12" ht="16.5" x14ac:dyDescent="0.2">
      <c r="A11" s="32"/>
      <c r="B11" s="32"/>
      <c r="C11" s="32"/>
      <c r="D11" s="32"/>
      <c r="E11" s="32"/>
      <c r="F11" s="32"/>
      <c r="L11" s="33"/>
    </row>
    <row r="12" spans="1:12" x14ac:dyDescent="0.2">
      <c r="F12" s="29"/>
      <c r="L12" s="34"/>
    </row>
    <row r="13" spans="1:12" x14ac:dyDescent="0.2">
      <c r="F13" s="29"/>
    </row>
    <row r="14" spans="1:12" x14ac:dyDescent="0.2">
      <c r="F14" s="29"/>
    </row>
    <row r="15" spans="1:12" x14ac:dyDescent="0.2">
      <c r="F15" s="29"/>
    </row>
    <row r="16" spans="1:12" x14ac:dyDescent="0.2">
      <c r="F16" s="29"/>
    </row>
    <row r="17" spans="6:6" x14ac:dyDescent="0.2">
      <c r="F17" s="29"/>
    </row>
    <row r="18" spans="6:6" x14ac:dyDescent="0.2">
      <c r="F18" s="29"/>
    </row>
    <row r="19" spans="6:6" x14ac:dyDescent="0.2">
      <c r="F19" s="29"/>
    </row>
    <row r="20" spans="6:6" x14ac:dyDescent="0.2">
      <c r="F20" s="29"/>
    </row>
    <row r="21" spans="6:6" x14ac:dyDescent="0.2">
      <c r="F21" s="29"/>
    </row>
    <row r="22" spans="6:6" x14ac:dyDescent="0.2">
      <c r="F22" s="29"/>
    </row>
    <row r="23" spans="6:6" x14ac:dyDescent="0.2">
      <c r="F23" s="29"/>
    </row>
    <row r="24" spans="6:6" x14ac:dyDescent="0.2">
      <c r="F24" s="29"/>
    </row>
    <row r="25" spans="6:6" x14ac:dyDescent="0.2">
      <c r="F25" s="29"/>
    </row>
    <row r="26" spans="6:6" x14ac:dyDescent="0.2">
      <c r="F26" s="29"/>
    </row>
    <row r="27" spans="6:6" x14ac:dyDescent="0.2">
      <c r="F27" s="29"/>
    </row>
    <row r="28" spans="6:6" x14ac:dyDescent="0.2">
      <c r="F28" s="29"/>
    </row>
    <row r="29" spans="6:6" x14ac:dyDescent="0.2">
      <c r="F29" s="29"/>
    </row>
    <row r="30" spans="6:6" x14ac:dyDescent="0.2">
      <c r="F30" s="29"/>
    </row>
    <row r="31" spans="6:6" x14ac:dyDescent="0.2">
      <c r="F31" s="29"/>
    </row>
    <row r="32" spans="6:6" x14ac:dyDescent="0.2">
      <c r="F32" s="29"/>
    </row>
    <row r="33" spans="6:6" x14ac:dyDescent="0.2">
      <c r="F33" s="29"/>
    </row>
    <row r="34" spans="6:6" x14ac:dyDescent="0.2">
      <c r="F34" s="29"/>
    </row>
    <row r="35" spans="6:6" x14ac:dyDescent="0.2">
      <c r="F35" s="29"/>
    </row>
    <row r="36" spans="6:6" x14ac:dyDescent="0.2">
      <c r="F36" s="29"/>
    </row>
    <row r="37" spans="6:6" x14ac:dyDescent="0.2">
      <c r="F37" s="29"/>
    </row>
    <row r="38" spans="6:6" x14ac:dyDescent="0.2">
      <c r="F38" s="29"/>
    </row>
    <row r="39" spans="6:6" x14ac:dyDescent="0.2">
      <c r="F39" s="29"/>
    </row>
    <row r="40" spans="6:6" x14ac:dyDescent="0.2">
      <c r="F40" s="29"/>
    </row>
    <row r="41" spans="6:6" x14ac:dyDescent="0.2">
      <c r="F41" s="29"/>
    </row>
    <row r="42" spans="6:6" x14ac:dyDescent="0.2">
      <c r="F42" s="29"/>
    </row>
    <row r="43" spans="6:6" x14ac:dyDescent="0.2">
      <c r="F43" s="29"/>
    </row>
    <row r="44" spans="6:6" x14ac:dyDescent="0.2">
      <c r="F44" s="29"/>
    </row>
    <row r="45" spans="6:6" x14ac:dyDescent="0.2">
      <c r="F45" s="29"/>
    </row>
    <row r="46" spans="6:6" x14ac:dyDescent="0.2">
      <c r="F46" s="29"/>
    </row>
    <row r="47" spans="6:6" x14ac:dyDescent="0.2">
      <c r="F47" s="29"/>
    </row>
    <row r="48" spans="6:6" x14ac:dyDescent="0.2">
      <c r="F48" s="29"/>
    </row>
    <row r="49" spans="6:6" x14ac:dyDescent="0.2">
      <c r="F49" s="29"/>
    </row>
    <row r="50" spans="6:6" x14ac:dyDescent="0.2">
      <c r="F50" s="29"/>
    </row>
    <row r="51" spans="6:6" x14ac:dyDescent="0.2">
      <c r="F51" s="29"/>
    </row>
    <row r="52" spans="6:6" x14ac:dyDescent="0.2">
      <c r="F52" s="29"/>
    </row>
    <row r="53" spans="6:6" x14ac:dyDescent="0.2">
      <c r="F53" s="29"/>
    </row>
    <row r="54" spans="6:6" ht="24.75" customHeight="1" x14ac:dyDescent="0.2">
      <c r="F54" s="29"/>
    </row>
    <row r="55" spans="6:6" x14ac:dyDescent="0.2">
      <c r="F55" s="29"/>
    </row>
    <row r="56" spans="6:6" x14ac:dyDescent="0.2">
      <c r="F56" s="29"/>
    </row>
    <row r="57" spans="6:6" x14ac:dyDescent="0.2">
      <c r="F57" s="29"/>
    </row>
    <row r="58" spans="6:6" x14ac:dyDescent="0.2">
      <c r="F58" s="29"/>
    </row>
    <row r="59" spans="6:6" x14ac:dyDescent="0.2">
      <c r="F59" s="29"/>
    </row>
    <row r="60" spans="6:6" x14ac:dyDescent="0.2">
      <c r="F60" s="29"/>
    </row>
    <row r="61" spans="6:6" x14ac:dyDescent="0.2">
      <c r="F61" s="29"/>
    </row>
    <row r="62" spans="6:6" x14ac:dyDescent="0.2">
      <c r="F62" s="29"/>
    </row>
    <row r="63" spans="6:6" x14ac:dyDescent="0.2">
      <c r="F63" s="29"/>
    </row>
    <row r="64" spans="6:6" x14ac:dyDescent="0.2">
      <c r="F64" s="29"/>
    </row>
    <row r="65" spans="6:6" x14ac:dyDescent="0.2">
      <c r="F65" s="29"/>
    </row>
    <row r="66" spans="6:6" x14ac:dyDescent="0.2">
      <c r="F66" s="29"/>
    </row>
    <row r="67" spans="6:6" x14ac:dyDescent="0.2">
      <c r="F67" s="29"/>
    </row>
    <row r="68" spans="6:6" x14ac:dyDescent="0.2">
      <c r="F68" s="29"/>
    </row>
    <row r="69" spans="6:6" x14ac:dyDescent="0.2">
      <c r="F69" s="29"/>
    </row>
    <row r="70" spans="6:6" x14ac:dyDescent="0.2">
      <c r="F70" s="29"/>
    </row>
    <row r="71" spans="6:6" x14ac:dyDescent="0.2">
      <c r="F71" s="29"/>
    </row>
    <row r="72" spans="6:6" x14ac:dyDescent="0.2">
      <c r="F72" s="29"/>
    </row>
    <row r="73" spans="6:6" x14ac:dyDescent="0.2">
      <c r="F73" s="29"/>
    </row>
    <row r="74" spans="6:6" x14ac:dyDescent="0.2">
      <c r="F74" s="29"/>
    </row>
    <row r="75" spans="6:6" x14ac:dyDescent="0.2">
      <c r="F75" s="29"/>
    </row>
    <row r="76" spans="6:6" x14ac:dyDescent="0.2">
      <c r="F76" s="29"/>
    </row>
    <row r="77" spans="6:6" x14ac:dyDescent="0.2">
      <c r="F77" s="29"/>
    </row>
    <row r="78" spans="6:6" x14ac:dyDescent="0.2">
      <c r="F78" s="29"/>
    </row>
    <row r="79" spans="6:6" x14ac:dyDescent="0.2">
      <c r="F79" s="29"/>
    </row>
    <row r="80" spans="6:6" x14ac:dyDescent="0.2">
      <c r="F80" s="29"/>
    </row>
    <row r="81" spans="6:6" x14ac:dyDescent="0.2">
      <c r="F81" s="29"/>
    </row>
    <row r="82" spans="6:6" x14ac:dyDescent="0.2">
      <c r="F82" s="29"/>
    </row>
    <row r="83" spans="6:6" x14ac:dyDescent="0.2">
      <c r="F83" s="29"/>
    </row>
    <row r="84" spans="6:6" x14ac:dyDescent="0.2">
      <c r="F84" s="29"/>
    </row>
    <row r="85" spans="6:6" x14ac:dyDescent="0.2">
      <c r="F85" s="29"/>
    </row>
    <row r="86" spans="6:6" x14ac:dyDescent="0.2">
      <c r="F86" s="29"/>
    </row>
    <row r="87" spans="6:6" x14ac:dyDescent="0.2">
      <c r="F87" s="29"/>
    </row>
    <row r="88" spans="6:6" x14ac:dyDescent="0.2">
      <c r="F88" s="29"/>
    </row>
    <row r="89" spans="6:6" x14ac:dyDescent="0.2">
      <c r="F89" s="29"/>
    </row>
    <row r="90" spans="6:6" x14ac:dyDescent="0.2">
      <c r="F90" s="29"/>
    </row>
    <row r="91" spans="6:6" x14ac:dyDescent="0.2">
      <c r="F91" s="29"/>
    </row>
    <row r="92" spans="6:6" x14ac:dyDescent="0.2">
      <c r="F92" s="29"/>
    </row>
    <row r="93" spans="6:6" x14ac:dyDescent="0.2">
      <c r="F93" s="29"/>
    </row>
    <row r="94" spans="6:6" x14ac:dyDescent="0.2">
      <c r="F94" s="29"/>
    </row>
    <row r="95" spans="6:6" x14ac:dyDescent="0.2">
      <c r="F95" s="29"/>
    </row>
    <row r="96" spans="6:6" x14ac:dyDescent="0.2">
      <c r="F96" s="29"/>
    </row>
    <row r="97" spans="6:6" x14ac:dyDescent="0.2">
      <c r="F97" s="29"/>
    </row>
    <row r="98" spans="6:6" x14ac:dyDescent="0.2">
      <c r="F98" s="29"/>
    </row>
    <row r="99" spans="6:6" x14ac:dyDescent="0.2">
      <c r="F99" s="29"/>
    </row>
    <row r="100" spans="6:6" x14ac:dyDescent="0.2">
      <c r="F100" s="29"/>
    </row>
    <row r="101" spans="6:6" x14ac:dyDescent="0.2">
      <c r="F101" s="29"/>
    </row>
    <row r="102" spans="6:6" x14ac:dyDescent="0.2">
      <c r="F102" s="29"/>
    </row>
    <row r="103" spans="6:6" x14ac:dyDescent="0.2">
      <c r="F103" s="29"/>
    </row>
    <row r="104" spans="6:6" x14ac:dyDescent="0.2">
      <c r="F104" s="29"/>
    </row>
    <row r="105" spans="6:6" x14ac:dyDescent="0.2">
      <c r="F105" s="29"/>
    </row>
    <row r="106" spans="6:6" x14ac:dyDescent="0.2">
      <c r="F106" s="29"/>
    </row>
    <row r="107" spans="6:6" x14ac:dyDescent="0.2">
      <c r="F107" s="29"/>
    </row>
    <row r="108" spans="6:6" x14ac:dyDescent="0.2">
      <c r="F108" s="29"/>
    </row>
    <row r="109" spans="6:6" x14ac:dyDescent="0.2">
      <c r="F109" s="29"/>
    </row>
    <row r="110" spans="6:6" x14ac:dyDescent="0.2">
      <c r="F110" s="29"/>
    </row>
    <row r="111" spans="6:6" x14ac:dyDescent="0.2">
      <c r="F111" s="29"/>
    </row>
    <row r="112" spans="6:6" x14ac:dyDescent="0.2">
      <c r="F112" s="29"/>
    </row>
    <row r="113" spans="6:6" x14ac:dyDescent="0.2">
      <c r="F113" s="29"/>
    </row>
    <row r="114" spans="6:6" x14ac:dyDescent="0.2">
      <c r="F114" s="29"/>
    </row>
    <row r="115" spans="6:6" x14ac:dyDescent="0.2">
      <c r="F115" s="29"/>
    </row>
    <row r="116" spans="6:6" x14ac:dyDescent="0.2">
      <c r="F116" s="29"/>
    </row>
    <row r="117" spans="6:6" x14ac:dyDescent="0.2">
      <c r="F117" s="29"/>
    </row>
    <row r="118" spans="6:6" x14ac:dyDescent="0.2">
      <c r="F118" s="29"/>
    </row>
    <row r="119" spans="6:6" x14ac:dyDescent="0.2">
      <c r="F119" s="29"/>
    </row>
    <row r="120" spans="6:6" x14ac:dyDescent="0.2">
      <c r="F120" s="29"/>
    </row>
    <row r="121" spans="6:6" x14ac:dyDescent="0.2">
      <c r="F121" s="29"/>
    </row>
    <row r="122" spans="6:6" x14ac:dyDescent="0.2">
      <c r="F122" s="29"/>
    </row>
    <row r="123" spans="6:6" x14ac:dyDescent="0.2">
      <c r="F123" s="29"/>
    </row>
    <row r="124" spans="6:6" x14ac:dyDescent="0.2">
      <c r="F124" s="29"/>
    </row>
    <row r="125" spans="6:6" x14ac:dyDescent="0.2">
      <c r="F125" s="29"/>
    </row>
    <row r="126" spans="6:6" x14ac:dyDescent="0.2">
      <c r="F126" s="29"/>
    </row>
    <row r="127" spans="6:6" x14ac:dyDescent="0.2">
      <c r="F127" s="29"/>
    </row>
    <row r="128" spans="6:6" x14ac:dyDescent="0.2">
      <c r="F128" s="29"/>
    </row>
    <row r="129" spans="6:6" x14ac:dyDescent="0.2">
      <c r="F129" s="29"/>
    </row>
    <row r="130" spans="6:6" x14ac:dyDescent="0.2">
      <c r="F130" s="29"/>
    </row>
    <row r="131" spans="6:6" x14ac:dyDescent="0.2">
      <c r="F131" s="29"/>
    </row>
    <row r="132" spans="6:6" x14ac:dyDescent="0.2">
      <c r="F132" s="29"/>
    </row>
    <row r="133" spans="6:6" x14ac:dyDescent="0.2">
      <c r="F133" s="29"/>
    </row>
    <row r="134" spans="6:6" x14ac:dyDescent="0.2">
      <c r="F134" s="29"/>
    </row>
    <row r="135" spans="6:6" x14ac:dyDescent="0.2">
      <c r="F135" s="29"/>
    </row>
    <row r="136" spans="6:6" x14ac:dyDescent="0.2">
      <c r="F136" s="29"/>
    </row>
    <row r="137" spans="6:6" x14ac:dyDescent="0.2">
      <c r="F137" s="29"/>
    </row>
    <row r="138" spans="6:6" x14ac:dyDescent="0.2">
      <c r="F138" s="29"/>
    </row>
    <row r="139" spans="6:6" x14ac:dyDescent="0.2">
      <c r="F139" s="29"/>
    </row>
    <row r="140" spans="6:6" x14ac:dyDescent="0.2">
      <c r="F140" s="29"/>
    </row>
    <row r="141" spans="6:6" x14ac:dyDescent="0.2">
      <c r="F141" s="29"/>
    </row>
    <row r="142" spans="6:6" x14ac:dyDescent="0.2">
      <c r="F142" s="29"/>
    </row>
    <row r="143" spans="6:6" x14ac:dyDescent="0.2">
      <c r="F143" s="29"/>
    </row>
    <row r="144" spans="6:6" x14ac:dyDescent="0.2">
      <c r="F144" s="29"/>
    </row>
    <row r="145" spans="6:6" x14ac:dyDescent="0.2">
      <c r="F145" s="29"/>
    </row>
    <row r="146" spans="6:6" x14ac:dyDescent="0.2">
      <c r="F146" s="29"/>
    </row>
    <row r="147" spans="6:6" x14ac:dyDescent="0.2">
      <c r="F147" s="29"/>
    </row>
    <row r="148" spans="6:6" x14ac:dyDescent="0.2">
      <c r="F148" s="29"/>
    </row>
    <row r="149" spans="6:6" x14ac:dyDescent="0.2">
      <c r="F149" s="29"/>
    </row>
    <row r="150" spans="6:6" x14ac:dyDescent="0.2">
      <c r="F150" s="29"/>
    </row>
    <row r="151" spans="6:6" x14ac:dyDescent="0.2">
      <c r="F151" s="29"/>
    </row>
    <row r="152" spans="6:6" x14ac:dyDescent="0.2">
      <c r="F152" s="29"/>
    </row>
    <row r="153" spans="6:6" x14ac:dyDescent="0.2">
      <c r="F153" s="29"/>
    </row>
    <row r="154" spans="6:6" x14ac:dyDescent="0.2">
      <c r="F154" s="29"/>
    </row>
    <row r="155" spans="6:6" x14ac:dyDescent="0.2">
      <c r="F155" s="29"/>
    </row>
    <row r="156" spans="6:6" x14ac:dyDescent="0.2">
      <c r="F156" s="29"/>
    </row>
    <row r="157" spans="6:6" x14ac:dyDescent="0.2">
      <c r="F157" s="29"/>
    </row>
    <row r="158" spans="6:6" x14ac:dyDescent="0.2">
      <c r="F158" s="29"/>
    </row>
    <row r="159" spans="6:6" x14ac:dyDescent="0.2">
      <c r="F159" s="29"/>
    </row>
    <row r="160" spans="6:6" x14ac:dyDescent="0.2">
      <c r="F160" s="29"/>
    </row>
    <row r="161" spans="6:6" x14ac:dyDescent="0.2">
      <c r="F161" s="29"/>
    </row>
    <row r="162" spans="6:6" x14ac:dyDescent="0.2">
      <c r="F162" s="29"/>
    </row>
    <row r="163" spans="6:6" x14ac:dyDescent="0.2">
      <c r="F163" s="29"/>
    </row>
    <row r="164" spans="6:6" x14ac:dyDescent="0.2">
      <c r="F164" s="29"/>
    </row>
    <row r="165" spans="6:6" x14ac:dyDescent="0.2">
      <c r="F165" s="29"/>
    </row>
    <row r="166" spans="6:6" x14ac:dyDescent="0.2">
      <c r="F166" s="29"/>
    </row>
    <row r="167" spans="6:6" x14ac:dyDescent="0.2">
      <c r="F167" s="29"/>
    </row>
    <row r="168" spans="6:6" x14ac:dyDescent="0.2">
      <c r="F168" s="29"/>
    </row>
    <row r="169" spans="6:6" x14ac:dyDescent="0.2">
      <c r="F169" s="29"/>
    </row>
    <row r="170" spans="6:6" x14ac:dyDescent="0.2">
      <c r="F170" s="29"/>
    </row>
    <row r="171" spans="6:6" x14ac:dyDescent="0.2">
      <c r="F171" s="29"/>
    </row>
    <row r="172" spans="6:6" x14ac:dyDescent="0.2">
      <c r="F172" s="29"/>
    </row>
    <row r="173" spans="6:6" x14ac:dyDescent="0.2">
      <c r="F173" s="29"/>
    </row>
    <row r="174" spans="6:6" x14ac:dyDescent="0.2">
      <c r="F174" s="29"/>
    </row>
    <row r="175" spans="6:6" x14ac:dyDescent="0.2">
      <c r="F175" s="29"/>
    </row>
    <row r="176" spans="6:6" x14ac:dyDescent="0.2">
      <c r="F176" s="29"/>
    </row>
    <row r="177" spans="2:6" x14ac:dyDescent="0.2">
      <c r="F177" s="29"/>
    </row>
    <row r="178" spans="2:6" x14ac:dyDescent="0.2">
      <c r="F178" s="29"/>
    </row>
    <row r="179" spans="2:6" x14ac:dyDescent="0.2">
      <c r="F179" s="29"/>
    </row>
    <row r="180" spans="2:6" x14ac:dyDescent="0.2">
      <c r="F180" s="29"/>
    </row>
    <row r="181" spans="2:6" x14ac:dyDescent="0.2">
      <c r="F181" s="29"/>
    </row>
    <row r="182" spans="2:6" x14ac:dyDescent="0.2">
      <c r="F182" s="29"/>
    </row>
    <row r="183" spans="2:6" x14ac:dyDescent="0.2">
      <c r="F183" s="29"/>
    </row>
    <row r="184" spans="2:6" x14ac:dyDescent="0.2">
      <c r="F184" s="29"/>
    </row>
    <row r="185" spans="2:6" x14ac:dyDescent="0.2">
      <c r="F185" s="29"/>
    </row>
    <row r="186" spans="2:6" x14ac:dyDescent="0.2">
      <c r="F186" s="29"/>
    </row>
    <row r="187" spans="2:6" x14ac:dyDescent="0.2">
      <c r="F187" s="29"/>
    </row>
    <row r="188" spans="2:6" x14ac:dyDescent="0.2">
      <c r="F188" s="29"/>
    </row>
    <row r="189" spans="2:6" x14ac:dyDescent="0.2">
      <c r="F189" s="29"/>
    </row>
    <row r="190" spans="2:6" x14ac:dyDescent="0.2">
      <c r="F190" s="29"/>
    </row>
    <row r="191" spans="2:6" x14ac:dyDescent="0.2">
      <c r="F191" s="29"/>
    </row>
    <row r="192" spans="2:6" s="24" customFormat="1" x14ac:dyDescent="0.2">
      <c r="B192" s="29"/>
      <c r="C192" s="29"/>
      <c r="D192" s="29"/>
      <c r="E192" s="29"/>
      <c r="F192" s="29"/>
    </row>
    <row r="193" spans="2:6" s="24" customFormat="1" x14ac:dyDescent="0.2">
      <c r="B193" s="29"/>
      <c r="C193" s="29"/>
      <c r="D193" s="29"/>
      <c r="E193" s="29"/>
      <c r="F193" s="29"/>
    </row>
    <row r="194" spans="2:6" s="24" customFormat="1" x14ac:dyDescent="0.2">
      <c r="B194" s="29"/>
      <c r="C194" s="29"/>
      <c r="D194" s="29"/>
      <c r="E194" s="29"/>
      <c r="F194" s="29"/>
    </row>
    <row r="195" spans="2:6" s="25" customFormat="1" x14ac:dyDescent="0.2">
      <c r="B195" s="35"/>
      <c r="C195" s="35"/>
      <c r="D195" s="29"/>
      <c r="E195" s="29"/>
      <c r="F195" s="29"/>
    </row>
    <row r="196" spans="2:6" s="25" customFormat="1" x14ac:dyDescent="0.2">
      <c r="B196" s="35"/>
      <c r="C196" s="35"/>
      <c r="D196" s="29"/>
      <c r="E196" s="29"/>
      <c r="F196" s="29"/>
    </row>
    <row r="197" spans="2:6" s="25" customFormat="1" x14ac:dyDescent="0.2">
      <c r="B197" s="35"/>
      <c r="C197" s="35"/>
      <c r="D197" s="29"/>
      <c r="E197" s="29"/>
      <c r="F197" s="29"/>
    </row>
    <row r="198" spans="2:6" s="25" customFormat="1" x14ac:dyDescent="0.2">
      <c r="B198" s="35"/>
      <c r="C198" s="35"/>
      <c r="D198" s="29"/>
      <c r="E198" s="29"/>
      <c r="F198" s="29"/>
    </row>
    <row r="199" spans="2:6" s="25" customFormat="1" x14ac:dyDescent="0.2">
      <c r="B199" s="35"/>
      <c r="C199" s="35"/>
      <c r="D199" s="29"/>
      <c r="E199" s="29"/>
      <c r="F199" s="29"/>
    </row>
    <row r="200" spans="2:6" s="25" customFormat="1" x14ac:dyDescent="0.2">
      <c r="B200" s="35"/>
      <c r="C200" s="35"/>
      <c r="D200" s="29"/>
      <c r="E200" s="29"/>
      <c r="F200" s="29"/>
    </row>
    <row r="201" spans="2:6" s="25" customFormat="1" x14ac:dyDescent="0.2">
      <c r="B201" s="35"/>
      <c r="C201" s="35"/>
      <c r="D201" s="29"/>
      <c r="E201" s="29"/>
      <c r="F201" s="29"/>
    </row>
    <row r="202" spans="2:6" s="25" customFormat="1" x14ac:dyDescent="0.2">
      <c r="B202" s="35"/>
      <c r="C202" s="35"/>
      <c r="D202" s="29"/>
      <c r="E202" s="29"/>
      <c r="F202" s="29"/>
    </row>
    <row r="203" spans="2:6" s="25" customFormat="1" x14ac:dyDescent="0.2">
      <c r="B203" s="35"/>
      <c r="C203" s="35"/>
      <c r="D203" s="29"/>
      <c r="E203" s="29"/>
      <c r="F203" s="29"/>
    </row>
    <row r="204" spans="2:6" s="25" customFormat="1" x14ac:dyDescent="0.2">
      <c r="B204" s="35"/>
      <c r="C204" s="35"/>
      <c r="D204" s="29"/>
      <c r="E204" s="29"/>
      <c r="F204" s="29"/>
    </row>
    <row r="205" spans="2:6" s="25" customFormat="1" x14ac:dyDescent="0.2">
      <c r="B205" s="35"/>
      <c r="C205" s="35"/>
      <c r="D205" s="29"/>
      <c r="E205" s="29"/>
      <c r="F205" s="29"/>
    </row>
    <row r="206" spans="2:6" s="25" customFormat="1" x14ac:dyDescent="0.2">
      <c r="B206" s="35"/>
      <c r="C206" s="35"/>
      <c r="D206" s="29"/>
      <c r="E206" s="29"/>
      <c r="F206" s="29"/>
    </row>
    <row r="207" spans="2:6" s="25" customFormat="1" x14ac:dyDescent="0.2">
      <c r="B207" s="35"/>
      <c r="C207" s="35"/>
      <c r="D207" s="29"/>
      <c r="E207" s="29"/>
      <c r="F207" s="29"/>
    </row>
    <row r="208" spans="2:6" s="25" customFormat="1" x14ac:dyDescent="0.2">
      <c r="B208" s="35"/>
      <c r="C208" s="35"/>
      <c r="D208" s="29"/>
      <c r="E208" s="29"/>
      <c r="F208" s="29"/>
    </row>
    <row r="209" spans="2:6" s="25" customFormat="1" x14ac:dyDescent="0.2">
      <c r="B209" s="35"/>
      <c r="C209" s="35"/>
      <c r="D209" s="29"/>
      <c r="E209" s="29"/>
      <c r="F209" s="29"/>
    </row>
    <row r="210" spans="2:6" s="25" customFormat="1" x14ac:dyDescent="0.2">
      <c r="B210" s="35"/>
      <c r="C210" s="35"/>
      <c r="D210" s="29"/>
      <c r="E210" s="29"/>
      <c r="F210" s="29"/>
    </row>
    <row r="211" spans="2:6" s="25" customFormat="1" x14ac:dyDescent="0.2">
      <c r="B211" s="35"/>
      <c r="C211" s="35"/>
      <c r="D211" s="29"/>
      <c r="E211" s="29"/>
      <c r="F211" s="29"/>
    </row>
    <row r="212" spans="2:6" s="25" customFormat="1" x14ac:dyDescent="0.2">
      <c r="B212" s="35"/>
      <c r="C212" s="35"/>
      <c r="D212" s="29"/>
      <c r="E212" s="29"/>
      <c r="F212" s="29"/>
    </row>
    <row r="213" spans="2:6" s="25" customFormat="1" x14ac:dyDescent="0.2">
      <c r="B213" s="35"/>
      <c r="C213" s="35"/>
      <c r="D213" s="29"/>
      <c r="E213" s="29"/>
      <c r="F213" s="29"/>
    </row>
    <row r="214" spans="2:6" s="25" customFormat="1" x14ac:dyDescent="0.2">
      <c r="B214" s="35"/>
      <c r="C214" s="35"/>
      <c r="D214" s="29"/>
      <c r="E214" s="29"/>
      <c r="F214" s="29"/>
    </row>
    <row r="215" spans="2:6" s="25" customFormat="1" x14ac:dyDescent="0.2">
      <c r="B215" s="35"/>
      <c r="C215" s="35"/>
      <c r="D215" s="29"/>
      <c r="E215" s="29"/>
      <c r="F215" s="29"/>
    </row>
    <row r="216" spans="2:6" s="25" customFormat="1" x14ac:dyDescent="0.2">
      <c r="B216" s="35"/>
      <c r="C216" s="35"/>
      <c r="D216" s="29"/>
      <c r="E216" s="29"/>
      <c r="F216" s="29"/>
    </row>
    <row r="217" spans="2:6" s="25" customFormat="1" x14ac:dyDescent="0.2">
      <c r="B217" s="35"/>
      <c r="C217" s="35"/>
      <c r="D217" s="29"/>
      <c r="E217" s="29"/>
      <c r="F217" s="29"/>
    </row>
    <row r="218" spans="2:6" s="25" customFormat="1" x14ac:dyDescent="0.2">
      <c r="B218" s="35"/>
      <c r="C218" s="35"/>
      <c r="D218" s="29"/>
      <c r="E218" s="29"/>
      <c r="F218" s="29"/>
    </row>
    <row r="219" spans="2:6" x14ac:dyDescent="0.2">
      <c r="F219" s="29"/>
    </row>
    <row r="220" spans="2:6" x14ac:dyDescent="0.2">
      <c r="F220" s="29"/>
    </row>
    <row r="221" spans="2:6" s="26" customFormat="1" x14ac:dyDescent="0.2">
      <c r="B221" s="36"/>
      <c r="C221" s="36"/>
      <c r="D221" s="29"/>
      <c r="E221" s="29"/>
      <c r="F221" s="29"/>
    </row>
    <row r="222" spans="2:6" s="26" customFormat="1" x14ac:dyDescent="0.2">
      <c r="B222" s="36"/>
      <c r="C222" s="36"/>
      <c r="D222" s="29"/>
      <c r="E222" s="29"/>
      <c r="F222" s="29"/>
    </row>
    <row r="223" spans="2:6" s="26" customFormat="1" x14ac:dyDescent="0.2">
      <c r="B223" s="36"/>
      <c r="C223" s="36"/>
      <c r="D223" s="29"/>
      <c r="E223" s="29"/>
      <c r="F223" s="29"/>
    </row>
    <row r="224" spans="2:6" s="26" customFormat="1" x14ac:dyDescent="0.2">
      <c r="B224" s="36"/>
      <c r="C224" s="36"/>
      <c r="D224" s="29"/>
      <c r="E224" s="29"/>
      <c r="F224" s="29"/>
    </row>
    <row r="225" spans="2:6" s="26" customFormat="1" x14ac:dyDescent="0.2">
      <c r="B225" s="36"/>
      <c r="C225" s="36"/>
      <c r="D225" s="29"/>
      <c r="E225" s="29"/>
      <c r="F225" s="29"/>
    </row>
    <row r="226" spans="2:6" s="26" customFormat="1" x14ac:dyDescent="0.2">
      <c r="B226" s="36"/>
      <c r="C226" s="36"/>
      <c r="D226" s="29"/>
      <c r="E226" s="29"/>
      <c r="F226" s="29"/>
    </row>
    <row r="227" spans="2:6" s="26" customFormat="1" x14ac:dyDescent="0.2">
      <c r="B227" s="36"/>
      <c r="C227" s="36"/>
      <c r="D227" s="29"/>
      <c r="E227" s="29"/>
      <c r="F227" s="29"/>
    </row>
    <row r="228" spans="2:6" s="27" customFormat="1" x14ac:dyDescent="0.2">
      <c r="B228" s="37"/>
      <c r="C228" s="37"/>
      <c r="D228" s="29"/>
      <c r="E228" s="29"/>
      <c r="F228" s="29"/>
    </row>
    <row r="229" spans="2:6" s="27" customFormat="1" x14ac:dyDescent="0.2">
      <c r="B229" s="37"/>
      <c r="C229" s="37"/>
      <c r="D229" s="29"/>
      <c r="E229" s="29"/>
      <c r="F229" s="29"/>
    </row>
    <row r="230" spans="2:6" s="27" customFormat="1" x14ac:dyDescent="0.2">
      <c r="B230" s="37"/>
      <c r="C230" s="37"/>
      <c r="D230" s="29"/>
      <c r="E230" s="29"/>
      <c r="F230" s="29"/>
    </row>
    <row r="231" spans="2:6" s="27" customFormat="1" x14ac:dyDescent="0.2">
      <c r="B231" s="37"/>
      <c r="C231" s="37"/>
      <c r="D231" s="29"/>
      <c r="E231" s="29"/>
      <c r="F231" s="29"/>
    </row>
    <row r="232" spans="2:6" s="27" customFormat="1" x14ac:dyDescent="0.2">
      <c r="B232" s="37"/>
      <c r="C232" s="37"/>
      <c r="D232" s="29"/>
      <c r="E232" s="29"/>
      <c r="F232" s="29"/>
    </row>
    <row r="233" spans="2:6" s="27" customFormat="1" x14ac:dyDescent="0.2">
      <c r="B233" s="37"/>
      <c r="C233" s="37"/>
      <c r="D233" s="29"/>
      <c r="E233" s="29"/>
      <c r="F233" s="29"/>
    </row>
    <row r="234" spans="2:6" s="25" customFormat="1" x14ac:dyDescent="0.2">
      <c r="B234" s="35"/>
      <c r="C234" s="35"/>
      <c r="D234" s="29"/>
      <c r="E234" s="29"/>
      <c r="F234" s="29"/>
    </row>
    <row r="235" spans="2:6" s="25" customFormat="1" x14ac:dyDescent="0.2">
      <c r="B235" s="35"/>
      <c r="C235" s="35"/>
      <c r="D235" s="29"/>
      <c r="E235" s="29"/>
      <c r="F235" s="29"/>
    </row>
    <row r="236" spans="2:6" s="25" customFormat="1" x14ac:dyDescent="0.2">
      <c r="B236" s="35"/>
      <c r="C236" s="35"/>
      <c r="D236" s="29"/>
      <c r="E236" s="29"/>
      <c r="F236" s="29"/>
    </row>
    <row r="237" spans="2:6" s="25" customFormat="1" x14ac:dyDescent="0.2">
      <c r="B237" s="35"/>
      <c r="C237" s="35"/>
      <c r="D237" s="29"/>
      <c r="E237" s="29"/>
      <c r="F237" s="29"/>
    </row>
    <row r="238" spans="2:6" s="25" customFormat="1" x14ac:dyDescent="0.2">
      <c r="B238" s="35"/>
      <c r="C238" s="35"/>
      <c r="D238" s="29"/>
      <c r="E238" s="29"/>
      <c r="F238" s="29"/>
    </row>
    <row r="239" spans="2:6" s="25" customFormat="1" x14ac:dyDescent="0.2">
      <c r="B239" s="35"/>
      <c r="C239" s="35"/>
      <c r="D239" s="29"/>
      <c r="E239" s="29"/>
      <c r="F239" s="29"/>
    </row>
    <row r="240" spans="2:6" s="25" customFormat="1" x14ac:dyDescent="0.2">
      <c r="B240" s="35"/>
      <c r="C240" s="35"/>
      <c r="D240" s="29"/>
      <c r="E240" s="29"/>
      <c r="F240" s="29"/>
    </row>
    <row r="241" spans="2:6" s="25" customFormat="1" x14ac:dyDescent="0.2">
      <c r="B241" s="35"/>
      <c r="C241" s="35"/>
      <c r="D241" s="29"/>
      <c r="E241" s="29"/>
      <c r="F241" s="29"/>
    </row>
    <row r="242" spans="2:6" s="25" customFormat="1" x14ac:dyDescent="0.2">
      <c r="B242" s="35"/>
      <c r="C242" s="35"/>
      <c r="D242" s="29"/>
      <c r="E242" s="29"/>
      <c r="F242" s="29"/>
    </row>
    <row r="243" spans="2:6" s="25" customFormat="1" x14ac:dyDescent="0.2">
      <c r="B243" s="35"/>
      <c r="C243" s="35"/>
      <c r="D243" s="29"/>
      <c r="E243" s="29"/>
      <c r="F243" s="29"/>
    </row>
    <row r="244" spans="2:6" s="25" customFormat="1" x14ac:dyDescent="0.2">
      <c r="B244" s="35"/>
      <c r="C244" s="35"/>
      <c r="D244" s="29"/>
      <c r="E244" s="29"/>
      <c r="F244" s="29"/>
    </row>
    <row r="245" spans="2:6" s="25" customFormat="1" x14ac:dyDescent="0.2">
      <c r="B245" s="35"/>
      <c r="C245" s="35"/>
      <c r="D245" s="29"/>
      <c r="E245" s="29"/>
      <c r="F245" s="29"/>
    </row>
    <row r="246" spans="2:6" s="25" customFormat="1" x14ac:dyDescent="0.2">
      <c r="B246" s="35"/>
      <c r="C246" s="35"/>
      <c r="D246" s="29"/>
      <c r="E246" s="29"/>
      <c r="F246" s="29"/>
    </row>
    <row r="247" spans="2:6" s="25" customFormat="1" x14ac:dyDescent="0.2">
      <c r="B247" s="35"/>
      <c r="C247" s="35"/>
      <c r="D247" s="29"/>
      <c r="E247" s="29"/>
      <c r="F247" s="29"/>
    </row>
    <row r="248" spans="2:6" s="25" customFormat="1" x14ac:dyDescent="0.2">
      <c r="B248" s="35"/>
      <c r="C248" s="35"/>
      <c r="D248" s="29"/>
      <c r="E248" s="29"/>
      <c r="F248" s="29"/>
    </row>
    <row r="249" spans="2:6" s="25" customFormat="1" x14ac:dyDescent="0.2">
      <c r="B249" s="35"/>
      <c r="C249" s="35"/>
      <c r="D249" s="29"/>
      <c r="E249" s="29"/>
      <c r="F249" s="29"/>
    </row>
    <row r="250" spans="2:6" s="25" customFormat="1" x14ac:dyDescent="0.2">
      <c r="B250" s="35"/>
      <c r="C250" s="35"/>
      <c r="D250" s="29"/>
      <c r="E250" s="29"/>
      <c r="F250" s="29"/>
    </row>
    <row r="251" spans="2:6" s="25" customFormat="1" x14ac:dyDescent="0.2">
      <c r="B251" s="35"/>
      <c r="C251" s="35"/>
      <c r="D251" s="29"/>
      <c r="E251" s="29"/>
      <c r="F251" s="29"/>
    </row>
    <row r="252" spans="2:6" s="25" customFormat="1" x14ac:dyDescent="0.2">
      <c r="B252" s="35"/>
      <c r="C252" s="35"/>
      <c r="D252" s="29"/>
      <c r="E252" s="29"/>
      <c r="F252" s="29"/>
    </row>
    <row r="253" spans="2:6" s="25" customFormat="1" x14ac:dyDescent="0.2">
      <c r="B253" s="35"/>
      <c r="C253" s="35"/>
      <c r="D253" s="29"/>
      <c r="E253" s="29"/>
      <c r="F253" s="29"/>
    </row>
    <row r="254" spans="2:6" s="25" customFormat="1" x14ac:dyDescent="0.2">
      <c r="B254" s="35"/>
      <c r="C254" s="35"/>
      <c r="D254" s="29"/>
      <c r="E254" s="29"/>
      <c r="F254" s="29"/>
    </row>
    <row r="255" spans="2:6" s="25" customFormat="1" x14ac:dyDescent="0.2">
      <c r="B255" s="35"/>
      <c r="C255" s="35"/>
      <c r="D255" s="29"/>
      <c r="E255" s="29"/>
      <c r="F255" s="29"/>
    </row>
    <row r="256" spans="2:6" s="25" customFormat="1" x14ac:dyDescent="0.2">
      <c r="B256" s="35"/>
      <c r="C256" s="35"/>
      <c r="D256" s="29"/>
      <c r="E256" s="29"/>
      <c r="F256" s="29"/>
    </row>
    <row r="257" spans="6:6" x14ac:dyDescent="0.2">
      <c r="F257" s="29"/>
    </row>
    <row r="258" spans="6:6" x14ac:dyDescent="0.2">
      <c r="F258" s="29"/>
    </row>
    <row r="259" spans="6:6" x14ac:dyDescent="0.2">
      <c r="F259" s="29"/>
    </row>
    <row r="260" spans="6:6" x14ac:dyDescent="0.2">
      <c r="F260" s="29"/>
    </row>
    <row r="261" spans="6:6" x14ac:dyDescent="0.2">
      <c r="F261" s="29"/>
    </row>
    <row r="262" spans="6:6" x14ac:dyDescent="0.2">
      <c r="F262" s="29"/>
    </row>
    <row r="263" spans="6:6" x14ac:dyDescent="0.2">
      <c r="F263" s="29"/>
    </row>
    <row r="264" spans="6:6" x14ac:dyDescent="0.2">
      <c r="F264" s="29"/>
    </row>
    <row r="265" spans="6:6" x14ac:dyDescent="0.2">
      <c r="F265" s="29"/>
    </row>
    <row r="273" spans="4:4" s="28" customFormat="1" x14ac:dyDescent="0.2">
      <c r="D273" s="38"/>
    </row>
    <row r="275" spans="4:4" s="28" customFormat="1" x14ac:dyDescent="0.2">
      <c r="D275" s="38"/>
    </row>
    <row r="276" spans="4:4" s="28" customFormat="1" x14ac:dyDescent="0.2">
      <c r="D276" s="38"/>
    </row>
  </sheetData>
  <phoneticPr fontId="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selection activeCell="C18" sqref="C18"/>
    </sheetView>
  </sheetViews>
  <sheetFormatPr defaultColWidth="9" defaultRowHeight="14.25" x14ac:dyDescent="0.2"/>
  <cols>
    <col min="5" max="6" width="21.5" customWidth="1"/>
    <col min="7" max="8" width="40.375" customWidth="1"/>
    <col min="9" max="9" width="48.5" customWidth="1"/>
    <col min="11" max="11" width="50.625" customWidth="1"/>
  </cols>
  <sheetData>
    <row r="1" spans="1:12" ht="16.5" x14ac:dyDescent="0.2">
      <c r="A1" s="15" t="s">
        <v>0</v>
      </c>
      <c r="B1" s="15" t="s">
        <v>39</v>
      </c>
      <c r="C1" s="15" t="s">
        <v>40</v>
      </c>
      <c r="D1" s="15" t="s">
        <v>2</v>
      </c>
      <c r="E1" s="15" t="s">
        <v>41</v>
      </c>
      <c r="F1" s="16" t="s">
        <v>42</v>
      </c>
      <c r="G1" s="17" t="s">
        <v>43</v>
      </c>
      <c r="H1" s="15" t="s">
        <v>44</v>
      </c>
      <c r="I1" s="15" t="s">
        <v>45</v>
      </c>
      <c r="J1" s="17" t="s">
        <v>46</v>
      </c>
      <c r="K1" s="15" t="s">
        <v>47</v>
      </c>
      <c r="L1" s="15" t="s">
        <v>48</v>
      </c>
    </row>
    <row r="2" spans="1:12" ht="16.5" x14ac:dyDescent="0.2">
      <c r="A2" s="15" t="s">
        <v>7</v>
      </c>
      <c r="B2" s="17" t="s">
        <v>49</v>
      </c>
      <c r="C2" s="15" t="s">
        <v>50</v>
      </c>
      <c r="D2" s="15" t="s">
        <v>24</v>
      </c>
      <c r="E2" s="15" t="s">
        <v>51</v>
      </c>
      <c r="F2" s="18" t="s">
        <v>52</v>
      </c>
      <c r="G2" s="17" t="s">
        <v>24</v>
      </c>
      <c r="H2" s="15" t="s">
        <v>53</v>
      </c>
      <c r="I2" s="15" t="s">
        <v>54</v>
      </c>
      <c r="J2" s="17" t="s">
        <v>55</v>
      </c>
      <c r="K2" s="15" t="s">
        <v>56</v>
      </c>
      <c r="L2" s="15" t="s">
        <v>57</v>
      </c>
    </row>
    <row r="3" spans="1:12" ht="42.75" x14ac:dyDescent="0.2">
      <c r="A3" s="15" t="s">
        <v>13</v>
      </c>
      <c r="B3" s="17"/>
      <c r="C3" s="15" t="s">
        <v>58</v>
      </c>
      <c r="D3" s="15"/>
      <c r="E3" s="15" t="s">
        <v>59</v>
      </c>
      <c r="F3" s="18" t="s">
        <v>60</v>
      </c>
      <c r="G3" s="17" t="s">
        <v>61</v>
      </c>
      <c r="H3" s="15" t="s">
        <v>62</v>
      </c>
      <c r="I3" s="15" t="s">
        <v>63</v>
      </c>
      <c r="J3" s="17"/>
      <c r="K3" s="15" t="s">
        <v>64</v>
      </c>
      <c r="L3" s="15" t="s">
        <v>65</v>
      </c>
    </row>
    <row r="4" spans="1:12" ht="16.5" x14ac:dyDescent="0.2">
      <c r="A4" s="15" t="s">
        <v>15</v>
      </c>
      <c r="B4" s="17" t="s">
        <v>16</v>
      </c>
      <c r="C4" s="15" t="s">
        <v>66</v>
      </c>
      <c r="D4" s="15" t="s">
        <v>66</v>
      </c>
      <c r="E4" s="17" t="s">
        <v>16</v>
      </c>
      <c r="F4" s="19" t="s">
        <v>66</v>
      </c>
      <c r="G4" s="17" t="s">
        <v>66</v>
      </c>
      <c r="H4" s="15" t="s">
        <v>66</v>
      </c>
      <c r="I4" s="15"/>
      <c r="J4" s="17" t="s">
        <v>16</v>
      </c>
      <c r="K4" s="15" t="s">
        <v>66</v>
      </c>
      <c r="L4" s="15" t="s">
        <v>16</v>
      </c>
    </row>
    <row r="5" spans="1:12" x14ac:dyDescent="0.2">
      <c r="A5" s="15" t="s">
        <v>18</v>
      </c>
      <c r="B5" s="17"/>
      <c r="C5" s="15"/>
      <c r="D5" s="15"/>
      <c r="E5" s="15"/>
      <c r="F5" s="15"/>
      <c r="G5" s="17"/>
      <c r="H5" s="17"/>
      <c r="I5" s="15"/>
      <c r="J5" s="17"/>
      <c r="K5" s="15"/>
      <c r="L5" s="15"/>
    </row>
    <row r="6" spans="1:12" x14ac:dyDescent="0.2">
      <c r="A6" s="20"/>
      <c r="B6" s="20" t="s">
        <v>67</v>
      </c>
      <c r="C6" t="s">
        <v>68</v>
      </c>
      <c r="D6" s="20"/>
      <c r="E6" s="20">
        <v>1</v>
      </c>
      <c r="F6" s="20"/>
      <c r="G6" s="20"/>
      <c r="H6" s="20"/>
      <c r="I6" s="20"/>
      <c r="J6" s="20">
        <v>2001</v>
      </c>
      <c r="K6" s="20"/>
      <c r="L6" s="20" t="s">
        <v>69</v>
      </c>
    </row>
    <row r="7" spans="1:12" x14ac:dyDescent="0.2">
      <c r="A7" s="20"/>
      <c r="B7" s="20" t="s">
        <v>70</v>
      </c>
      <c r="C7" t="s">
        <v>68</v>
      </c>
      <c r="D7" s="20"/>
      <c r="E7" s="20">
        <v>1</v>
      </c>
      <c r="F7" s="20"/>
      <c r="G7" s="20"/>
      <c r="H7" s="20"/>
      <c r="I7" s="20"/>
      <c r="J7" s="20" t="s">
        <v>71</v>
      </c>
      <c r="K7" s="20"/>
      <c r="L7" s="20" t="s">
        <v>69</v>
      </c>
    </row>
    <row r="8" spans="1:12" x14ac:dyDescent="0.2">
      <c r="A8" s="20"/>
      <c r="B8" s="20" t="s">
        <v>72</v>
      </c>
      <c r="C8" t="s">
        <v>68</v>
      </c>
      <c r="D8" s="20"/>
      <c r="E8" s="20">
        <v>1</v>
      </c>
      <c r="F8" s="20"/>
      <c r="G8" s="20"/>
      <c r="H8" s="20"/>
      <c r="I8" s="20"/>
      <c r="J8" s="20">
        <v>2005</v>
      </c>
      <c r="K8" s="20"/>
      <c r="L8" s="20" t="s">
        <v>69</v>
      </c>
    </row>
    <row r="9" spans="1:12" x14ac:dyDescent="0.2">
      <c r="A9" s="20"/>
      <c r="B9" s="20" t="s">
        <v>73</v>
      </c>
      <c r="C9" t="s">
        <v>68</v>
      </c>
      <c r="D9" s="20"/>
      <c r="E9" s="20">
        <v>1</v>
      </c>
      <c r="F9" s="20"/>
      <c r="G9" s="20"/>
      <c r="H9" s="20"/>
      <c r="I9" s="20"/>
      <c r="J9" s="20">
        <v>2007</v>
      </c>
      <c r="K9" s="20"/>
      <c r="L9" s="20" t="s">
        <v>69</v>
      </c>
    </row>
    <row r="10" spans="1:12" x14ac:dyDescent="0.2">
      <c r="B10" s="20">
        <v>200800</v>
      </c>
      <c r="C10" t="s">
        <v>68</v>
      </c>
      <c r="E10" s="20">
        <v>1</v>
      </c>
      <c r="F10" s="20"/>
      <c r="J10" s="20">
        <v>2008</v>
      </c>
      <c r="K10" s="20"/>
      <c r="L10" s="20" t="s">
        <v>69</v>
      </c>
    </row>
    <row r="11" spans="1:12" x14ac:dyDescent="0.2">
      <c r="B11" s="20">
        <v>201000</v>
      </c>
      <c r="C11" t="s">
        <v>68</v>
      </c>
      <c r="E11" s="20">
        <v>1</v>
      </c>
      <c r="F11" s="20"/>
      <c r="J11" s="20">
        <v>2010</v>
      </c>
      <c r="K11" s="20"/>
      <c r="L11" s="20" t="s">
        <v>69</v>
      </c>
    </row>
    <row r="12" spans="1:12" x14ac:dyDescent="0.2">
      <c r="B12" s="20">
        <v>201100</v>
      </c>
      <c r="C12" t="s">
        <v>68</v>
      </c>
      <c r="E12" s="20">
        <v>1</v>
      </c>
      <c r="F12" s="20"/>
      <c r="J12" s="20">
        <v>2011</v>
      </c>
      <c r="K12" s="20"/>
      <c r="L12" s="20" t="s">
        <v>69</v>
      </c>
    </row>
    <row r="13" spans="1:12" x14ac:dyDescent="0.2">
      <c r="B13" s="20">
        <v>201200</v>
      </c>
      <c r="C13" t="s">
        <v>68</v>
      </c>
      <c r="E13" s="20">
        <v>1</v>
      </c>
      <c r="F13" s="20"/>
      <c r="J13" s="20" t="s">
        <v>74</v>
      </c>
      <c r="K13" s="20"/>
      <c r="L13" s="20" t="s">
        <v>69</v>
      </c>
    </row>
    <row r="14" spans="1:12" x14ac:dyDescent="0.2">
      <c r="B14" s="20">
        <v>201300</v>
      </c>
      <c r="C14" t="s">
        <v>68</v>
      </c>
      <c r="E14" s="20">
        <v>1</v>
      </c>
      <c r="F14" s="20"/>
      <c r="J14" s="20">
        <v>2013</v>
      </c>
      <c r="K14" s="20"/>
      <c r="L14" s="20" t="s">
        <v>69</v>
      </c>
    </row>
    <row r="15" spans="1:12" x14ac:dyDescent="0.2">
      <c r="B15" s="20">
        <v>201400</v>
      </c>
      <c r="C15" t="s">
        <v>68</v>
      </c>
      <c r="D15" s="20"/>
      <c r="E15" s="20">
        <v>1</v>
      </c>
      <c r="F15" s="20"/>
      <c r="G15" s="20"/>
      <c r="H15" s="20"/>
      <c r="I15" s="20"/>
      <c r="J15" s="20">
        <v>2014</v>
      </c>
      <c r="K15" s="20"/>
      <c r="L15" s="20" t="s">
        <v>69</v>
      </c>
    </row>
    <row r="16" spans="1:12" ht="42.75" x14ac:dyDescent="0.2">
      <c r="A16" s="21"/>
      <c r="B16" s="21">
        <v>201500</v>
      </c>
      <c r="C16" s="21" t="s">
        <v>75</v>
      </c>
      <c r="D16" s="21" t="s">
        <v>76</v>
      </c>
      <c r="E16" s="21">
        <v>1</v>
      </c>
      <c r="F16" s="21" t="s">
        <v>77</v>
      </c>
      <c r="G16" s="17" t="s">
        <v>78</v>
      </c>
      <c r="H16" s="17"/>
      <c r="I16" s="21">
        <v>1</v>
      </c>
      <c r="J16" s="21">
        <v>2015</v>
      </c>
      <c r="K16" s="21">
        <v>201599</v>
      </c>
      <c r="L16" s="21" t="s">
        <v>69</v>
      </c>
    </row>
    <row r="17" spans="1:12" x14ac:dyDescent="0.2">
      <c r="B17" s="20">
        <v>201600</v>
      </c>
      <c r="C17" t="s">
        <v>68</v>
      </c>
      <c r="E17" s="20">
        <v>1</v>
      </c>
      <c r="F17" s="20"/>
      <c r="J17" s="20">
        <v>2016</v>
      </c>
      <c r="K17" s="20"/>
      <c r="L17" s="20" t="s">
        <v>69</v>
      </c>
    </row>
    <row r="18" spans="1:12" x14ac:dyDescent="0.2">
      <c r="B18" s="20">
        <v>201700</v>
      </c>
      <c r="C18" t="s">
        <v>68</v>
      </c>
      <c r="E18" s="20">
        <v>1</v>
      </c>
      <c r="F18" s="20"/>
      <c r="J18" s="20">
        <v>2017</v>
      </c>
      <c r="K18" s="20"/>
      <c r="L18" s="20" t="s">
        <v>69</v>
      </c>
    </row>
    <row r="19" spans="1:12" x14ac:dyDescent="0.2">
      <c r="B19" s="20" t="s">
        <v>79</v>
      </c>
      <c r="C19" t="s">
        <v>68</v>
      </c>
      <c r="E19" s="20">
        <v>1</v>
      </c>
      <c r="F19" s="20"/>
      <c r="J19" s="20">
        <v>2018</v>
      </c>
      <c r="K19" s="20"/>
      <c r="L19" s="20" t="s">
        <v>69</v>
      </c>
    </row>
    <row r="20" spans="1:12" x14ac:dyDescent="0.2">
      <c r="B20" s="20">
        <v>201900</v>
      </c>
      <c r="C20" t="s">
        <v>68</v>
      </c>
      <c r="E20" s="20">
        <v>1</v>
      </c>
      <c r="F20" s="20"/>
      <c r="J20" s="20">
        <v>2019</v>
      </c>
      <c r="K20" s="20"/>
      <c r="L20" s="20" t="s">
        <v>69</v>
      </c>
    </row>
    <row r="21" spans="1:12" x14ac:dyDescent="0.2">
      <c r="B21" s="20">
        <v>202000</v>
      </c>
      <c r="C21" t="s">
        <v>68</v>
      </c>
      <c r="E21" s="20">
        <v>1</v>
      </c>
      <c r="F21" s="20"/>
      <c r="J21" s="20">
        <v>2020</v>
      </c>
      <c r="K21" s="20"/>
      <c r="L21" s="20" t="s">
        <v>69</v>
      </c>
    </row>
    <row r="22" spans="1:12" x14ac:dyDescent="0.2">
      <c r="B22" s="20">
        <v>202100</v>
      </c>
      <c r="C22" t="s">
        <v>68</v>
      </c>
      <c r="E22" s="20">
        <v>1</v>
      </c>
      <c r="F22" s="20"/>
      <c r="J22" s="20">
        <v>2021</v>
      </c>
      <c r="K22" s="20"/>
      <c r="L22" s="20" t="s">
        <v>69</v>
      </c>
    </row>
    <row r="23" spans="1:12" ht="71.25" x14ac:dyDescent="0.2">
      <c r="A23" s="20"/>
      <c r="B23" s="20">
        <v>202200</v>
      </c>
      <c r="C23" s="20" t="s">
        <v>80</v>
      </c>
      <c r="D23" s="20" t="s">
        <v>81</v>
      </c>
      <c r="E23" s="20">
        <v>1</v>
      </c>
      <c r="F23" s="20" t="s">
        <v>82</v>
      </c>
      <c r="G23" s="20" t="s">
        <v>83</v>
      </c>
      <c r="H23" s="20"/>
      <c r="I23" s="20">
        <v>3</v>
      </c>
      <c r="J23" s="20">
        <v>2022</v>
      </c>
      <c r="K23" s="20">
        <v>202299</v>
      </c>
      <c r="L23" s="20" t="s">
        <v>69</v>
      </c>
    </row>
    <row r="24" spans="1:12" ht="42.75" x14ac:dyDescent="0.2">
      <c r="B24" s="20">
        <v>202300</v>
      </c>
      <c r="C24" t="s">
        <v>84</v>
      </c>
      <c r="E24" s="20">
        <v>1</v>
      </c>
      <c r="F24" s="20" t="s">
        <v>85</v>
      </c>
      <c r="G24" s="22" t="s">
        <v>86</v>
      </c>
      <c r="I24" s="22">
        <v>2</v>
      </c>
      <c r="J24" s="20">
        <v>2023</v>
      </c>
      <c r="K24" s="20">
        <v>203299</v>
      </c>
      <c r="L24" s="20" t="s">
        <v>69</v>
      </c>
    </row>
    <row r="25" spans="1:12" x14ac:dyDescent="0.2">
      <c r="B25" s="20">
        <v>202400</v>
      </c>
      <c r="C25" t="s">
        <v>68</v>
      </c>
      <c r="E25" s="20">
        <v>1</v>
      </c>
      <c r="F25" s="20"/>
      <c r="J25" s="20" t="s">
        <v>87</v>
      </c>
      <c r="K25" s="20"/>
      <c r="L25" s="20" t="s">
        <v>69</v>
      </c>
    </row>
    <row r="26" spans="1:12" x14ac:dyDescent="0.2">
      <c r="B26" s="20">
        <v>202600</v>
      </c>
      <c r="C26" t="s">
        <v>68</v>
      </c>
      <c r="E26" s="20">
        <v>1</v>
      </c>
      <c r="F26" s="20"/>
      <c r="J26" s="20" t="s">
        <v>88</v>
      </c>
      <c r="K26" s="20"/>
      <c r="L26" s="20" t="s">
        <v>69</v>
      </c>
    </row>
    <row r="27" spans="1:12" x14ac:dyDescent="0.2">
      <c r="B27" s="20">
        <v>202800</v>
      </c>
      <c r="C27" t="s">
        <v>68</v>
      </c>
      <c r="E27" s="20">
        <v>1</v>
      </c>
      <c r="F27" s="20"/>
      <c r="J27" s="20">
        <v>2028</v>
      </c>
      <c r="K27" s="20"/>
      <c r="L27" s="20" t="s">
        <v>69</v>
      </c>
    </row>
    <row r="28" spans="1:12" x14ac:dyDescent="0.2">
      <c r="B28" s="20">
        <v>202900</v>
      </c>
      <c r="C28" t="s">
        <v>68</v>
      </c>
      <c r="E28" s="20">
        <v>1</v>
      </c>
      <c r="F28" s="20"/>
      <c r="J28" s="20" t="s">
        <v>89</v>
      </c>
      <c r="K28" s="20"/>
      <c r="L28" s="20" t="s">
        <v>69</v>
      </c>
    </row>
    <row r="29" spans="1:12" x14ac:dyDescent="0.2">
      <c r="B29" s="20">
        <v>203000</v>
      </c>
      <c r="C29" t="s">
        <v>68</v>
      </c>
      <c r="E29" s="20">
        <v>1</v>
      </c>
      <c r="F29" s="20"/>
      <c r="I29" s="22"/>
      <c r="J29" s="20" t="s">
        <v>90</v>
      </c>
      <c r="K29" s="20"/>
      <c r="L29" s="20" t="s">
        <v>69</v>
      </c>
    </row>
    <row r="30" spans="1:12" x14ac:dyDescent="0.2">
      <c r="A30" s="20"/>
      <c r="B30" s="20">
        <v>203200</v>
      </c>
      <c r="C30" t="s">
        <v>68</v>
      </c>
      <c r="D30" s="20"/>
      <c r="E30" s="20">
        <v>1</v>
      </c>
      <c r="F30" s="20"/>
      <c r="G30" s="20"/>
      <c r="H30" s="20"/>
      <c r="I30" s="20"/>
      <c r="J30" s="20">
        <v>2032</v>
      </c>
      <c r="K30" s="20"/>
      <c r="L30" s="20" t="s">
        <v>69</v>
      </c>
    </row>
    <row r="31" spans="1:12" x14ac:dyDescent="0.2">
      <c r="B31" s="20">
        <v>203500</v>
      </c>
      <c r="C31" t="s">
        <v>68</v>
      </c>
      <c r="E31" s="20">
        <v>1</v>
      </c>
      <c r="F31" s="20"/>
      <c r="J31" s="20" t="s">
        <v>91</v>
      </c>
      <c r="K31" s="20"/>
      <c r="L31" s="20" t="s">
        <v>69</v>
      </c>
    </row>
    <row r="32" spans="1:12" x14ac:dyDescent="0.2">
      <c r="B32" s="20">
        <v>204600</v>
      </c>
      <c r="C32" t="s">
        <v>68</v>
      </c>
      <c r="E32" s="20">
        <v>1</v>
      </c>
      <c r="J32" s="20">
        <v>2046</v>
      </c>
      <c r="K32" s="20"/>
      <c r="L32" s="20" t="s">
        <v>69</v>
      </c>
    </row>
  </sheetData>
  <phoneticPr fontId="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F12" sqref="F12"/>
    </sheetView>
  </sheetViews>
  <sheetFormatPr defaultColWidth="9" defaultRowHeight="14.25" x14ac:dyDescent="0.2"/>
  <cols>
    <col min="1" max="1" width="18.25" customWidth="1"/>
    <col min="2" max="2" width="19.25" customWidth="1"/>
    <col min="3" max="3" width="19.5" customWidth="1"/>
    <col min="4" max="4" width="18.125" customWidth="1"/>
    <col min="5" max="5" width="19.625" customWidth="1"/>
    <col min="6" max="6" width="21.75" customWidth="1"/>
    <col min="7" max="7" width="23.5" customWidth="1"/>
  </cols>
  <sheetData>
    <row r="1" spans="1:7" ht="16.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87" x14ac:dyDescent="0.2">
      <c r="A2" s="1" t="s">
        <v>7</v>
      </c>
      <c r="B2" s="6" t="s">
        <v>8</v>
      </c>
      <c r="C2" s="6" t="s">
        <v>0</v>
      </c>
      <c r="D2" s="7" t="s">
        <v>9</v>
      </c>
      <c r="E2" s="5" t="s">
        <v>10</v>
      </c>
      <c r="F2" s="5" t="s">
        <v>11</v>
      </c>
      <c r="G2" s="5" t="s">
        <v>12</v>
      </c>
    </row>
    <row r="3" spans="1:7" ht="16.5" x14ac:dyDescent="0.2">
      <c r="A3" s="1" t="s">
        <v>13</v>
      </c>
      <c r="B3" s="3"/>
      <c r="C3" s="3" t="s">
        <v>14</v>
      </c>
      <c r="D3" s="4"/>
      <c r="E3" s="5"/>
      <c r="F3" s="5"/>
      <c r="G3" s="5"/>
    </row>
    <row r="4" spans="1:7" ht="16.5" x14ac:dyDescent="0.2">
      <c r="A4" s="1" t="s">
        <v>15</v>
      </c>
      <c r="B4" s="8"/>
      <c r="C4" s="8"/>
      <c r="D4" s="9" t="s">
        <v>16</v>
      </c>
      <c r="E4" s="5" t="s">
        <v>17</v>
      </c>
      <c r="F4" s="5" t="s">
        <v>17</v>
      </c>
      <c r="G4" s="5" t="s">
        <v>17</v>
      </c>
    </row>
    <row r="5" spans="1:7" ht="16.5" x14ac:dyDescent="0.2">
      <c r="A5" s="1" t="s">
        <v>18</v>
      </c>
      <c r="B5" s="3"/>
      <c r="C5" s="3"/>
      <c r="D5" s="4"/>
      <c r="E5" s="5"/>
      <c r="F5" s="5"/>
      <c r="G5" s="5"/>
    </row>
    <row r="6" spans="1:7" ht="16.5" x14ac:dyDescent="0.2">
      <c r="A6" s="10"/>
      <c r="B6" s="11">
        <v>1</v>
      </c>
      <c r="C6" s="12"/>
      <c r="D6" s="13">
        <v>1</v>
      </c>
      <c r="E6" s="14" t="s">
        <v>19</v>
      </c>
      <c r="F6" s="14"/>
      <c r="G6" s="14"/>
    </row>
    <row r="7" spans="1:7" ht="16.5" x14ac:dyDescent="0.2">
      <c r="A7" s="10"/>
      <c r="B7" s="11">
        <v>3</v>
      </c>
      <c r="C7" s="12"/>
      <c r="D7" s="13">
        <v>1</v>
      </c>
      <c r="E7" s="14" t="s">
        <v>20</v>
      </c>
      <c r="F7" s="14"/>
      <c r="G7" s="14"/>
    </row>
    <row r="8" spans="1:7" ht="16.5" x14ac:dyDescent="0.2">
      <c r="A8" s="10"/>
      <c r="B8" s="11"/>
      <c r="C8" s="12"/>
      <c r="D8" s="13"/>
      <c r="E8" s="14"/>
      <c r="F8" s="14"/>
      <c r="G8" s="14"/>
    </row>
    <row r="9" spans="1:7" ht="16.5" x14ac:dyDescent="0.2">
      <c r="A9" s="10"/>
      <c r="B9" s="11"/>
      <c r="C9" s="12"/>
      <c r="D9" s="13"/>
      <c r="E9" s="14"/>
      <c r="F9" s="14"/>
      <c r="G9" s="14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技能</vt:lpstr>
      <vt:lpstr>生活技能效果事件</vt:lpstr>
      <vt:lpstr>生活技能</vt:lpstr>
      <vt:lpstr>生活技能效果事件等级参数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方哲 沈</cp:lastModifiedBy>
  <dcterms:created xsi:type="dcterms:W3CDTF">2015-06-05T18:19:00Z</dcterms:created>
  <dcterms:modified xsi:type="dcterms:W3CDTF">2024-02-18T02:09:23Z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160E0436F19A452AAB2873C605E74F27</vt:lpwstr>
  </property>
  <property fmtid="{D5CDD505-2E9C-101B-9397-08002B2CF9AE}" pid="3" name="KSOProductBuildVer">
    <vt:lpwstr>2052-11.1.0.15309</vt:lpwstr>
  </property>
</Properties>
</file>